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sMij" sheetId="1" state="visible" r:id="rId3"/>
    <sheet name="Retentie" sheetId="2" state="visible" r:id="rId4"/>
    <sheet name="Aannames" sheetId="3" state="visible" r:id="rId5"/>
    <sheet name="ModelBear" sheetId="4" state="visible" r:id="rId6"/>
    <sheet name="CohortBear" sheetId="5" state="visible" r:id="rId7"/>
    <sheet name="ModelBasis" sheetId="6" state="visible" r:id="rId8"/>
    <sheet name="CohortBasis" sheetId="7" state="visible" r:id="rId9"/>
    <sheet name="ModelBull" sheetId="8" state="visible" r:id="rId10"/>
    <sheet name="CohortBull" sheetId="9" state="visible" r:id="rId11"/>
    <sheet name="Sensitivite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<sst xmlns="http://schemas.openxmlformats.org/spreadsheetml/2006/main" count="345" uniqueCount="182">
  <si>
    <t xml:space="preserve">ART EYE — FINANCIEEL MODEL (36 maanden, maandelijks, 3 scenario's)</t>
  </si>
  <si>
    <t xml:space="preserve">Alle bedragen in A$ (AUD). Start = M1 = september 2026 (beta-launch rond Sydney Contemporary, 10-13 sep, Carriageworks).</t>
  </si>
  <si>
    <t xml:space="preserve">KLEURCODE</t>
  </si>
  <si>
    <t xml:space="preserve">Blauwe tekst = harde input / aanname (aanpasbaar).  Zwart = formule.  Groen = verwijzing naar ander blad.  Gele vulling = kernaanname — begin hier met draaien.</t>
  </si>
  <si>
    <t xml:space="preserve">STRUCTUUR</t>
  </si>
  <si>
    <t xml:space="preserve">1. Aannames — alle drivers, kolommen Bear / Basis / Bull, met bron/redenering per regel.</t>
  </si>
  <si>
    <t xml:space="preserve">2. Retentie — maandelijkse cohort-retentiecurves (leeftijd 0-35 mnd) per scenario. Low-frequency use case: steile val na M1, plateau daarna.</t>
  </si>
  <si>
    <t xml:space="preserve">3. ModelBear / ModelBasis / ModelBull — 36 maandregels: downloads, activatie, cohort-MAU, premium, venue-SaaS, fairs, kosten, cashflow. KPI-blok onderaan.</t>
  </si>
  <si>
    <t xml:space="preserve">4. CohortBear/-Basis/-Bull — het volledige cohortdriehoek: rij = startcohort, kolom = kalendermaand; MAU = kolomsom. Model-MAU verwijst hierheen.</t>
  </si>
  <si>
    <t xml:space="preserve">5. Sensitiviteit — live gevoeligheidstabellen (venue-MRR, consumer-omzet, venue-LTV).</t>
  </si>
  <si>
    <t xml:space="preserve">KERNCONCLUSIES (Basis-scenario)</t>
  </si>
  <si>
    <t xml:space="preserve">- Consumer-LTV per geactiveerde gebruiker is &lt; A$1: consumer subscription kan NOOIT het verdienmodel zijn; hij bestaat alleen als bonus.</t>
  </si>
  <si>
    <t xml:space="preserve">- Venue-SaaS (A$45/mnd) draagt ~85% van de omzet; het plafond per stad is laag (~A$1.100 MRR Sydney) — expansie is dus de groeimotor, niet prijs.</t>
  </si>
  <si>
    <t xml:space="preserve">- Cash-burn is klein (piek ~A$4-5k cumulatief): bootstrapbaar naast freelance. Kapitaal ophalen vóór bewezen retentie is onnodig én ongewenst.</t>
  </si>
  <si>
    <t xml:space="preserve">- Break-even (cumulatief) rond M20-22 in Basis; Bear komt nooit uit de min — zie kill-criteria in het strategiedocument.</t>
  </si>
  <si>
    <t xml:space="preserve">GEBRUIK</t>
  </si>
  <si>
    <t xml:space="preserve">Draai eerst de gele cellen op het blad Aannames (retentieplateau via blad Retentie). Alles rekent door. Verander nooit formules in de modelbladen zelf.</t>
  </si>
  <si>
    <t xml:space="preserve">Volledige redenering: docs/finance/ART-EYE-financieel-strategieplan.md in deze repo.</t>
  </si>
  <si>
    <t xml:space="preserve">Leeftijd (mnd)</t>
  </si>
  <si>
    <t xml:space="preserve">Bear</t>
  </si>
  <si>
    <t xml:space="preserve">Basis</t>
  </si>
  <si>
    <t xml:space="preserve">Bull</t>
  </si>
  <si>
    <t xml:space="preserve">Aandeel van een maandcohort dat in maand N na activatie nog actief is (&gt;=1 sessie). IJkpunten: event-gedreven consumer apps halen D30 10-15% (Basis M1=40% van geactiveerden, niet van downloads); plateau 8-10% = de kern-loggers (Letterboxd-patroon voor niche-logboek-apps). Bear = geen habit; Bull = statusloop werkt.</t>
  </si>
  <si>
    <t xml:space="preserve">Som (verwachte actieve mnd)</t>
  </si>
  <si>
    <t xml:space="preserve">AANNAMES — alle bedragen A$; percentages als fractie</t>
  </si>
  <si>
    <t xml:space="preserve">Driver</t>
  </si>
  <si>
    <t xml:space="preserve">Redenering / bron</t>
  </si>
  <si>
    <t xml:space="preserve">CONSUMER</t>
  </si>
  <si>
    <t xml:space="preserve">Launch-downloads M1 (sep '26)</t>
  </si>
  <si>
    <t xml:space="preserve">Fair-weekend Sydney Contemporary (~25-30k bezoekers) + pers + posters bij venues. 900 = 3% van fairbezoek; geen betaalde installs.</t>
  </si>
  <si>
    <t xml:space="preserve">Organische downloads/mnd (start)</t>
  </si>
  <si>
    <t xml:space="preserve">ASO 'sydney art exhibitions', venue-QR's, Instagram-shares. Referentie: niche-stadsapps zonder budget.</t>
  </si>
  <si>
    <t xml:space="preserve">Groei organisch %/mnd</t>
  </si>
  <si>
    <t xml:space="preserve">Word-of-mouth + registergroei. Bear: geen loop, vlak.</t>
  </si>
  <si>
    <t xml:space="preserve">Fair-boost (extra % in sept)</t>
  </si>
  <si>
    <t xml:space="preserve">Elke september (Sydney Contemporary) piekt discovery; M13/M25.</t>
  </si>
  <si>
    <t xml:space="preserve">Activatie (signup + &gt;=1 save)</t>
  </si>
  <si>
    <t xml:space="preserve">App vraagt account voor kernloop; benchmark consumer 40-60%. Meetbaar maken in analytics (nu NIET geinstrumenteerd in de code!).</t>
  </si>
  <si>
    <t xml:space="preserve">Premium-conversie (% van MAU)</t>
  </si>
  <si>
    <t xml:space="preserve">Letterboxd Pro-achtig: 1-5% van actieven betaalt voor stats/Wrapped/vroege fairgidsen.</t>
  </si>
  <si>
    <t xml:space="preserve">Premium-prijs A$/mnd</t>
  </si>
  <si>
    <t xml:space="preserve">Onder de koffie-drempel; jaarplan later (A$34.99).</t>
  </si>
  <si>
    <t xml:space="preserve">App Store-fee</t>
  </si>
  <si>
    <t xml:space="preserve">Apple Small Business Program (&lt;US$1M omzet) = 15%, geen 30%.</t>
  </si>
  <si>
    <t xml:space="preserve">Retentiecurve</t>
  </si>
  <si>
    <t xml:space="preserve">Zie blad Retentie (kolom per scenario) — de belangrijkste aanname van dit hele model.</t>
  </si>
  <si>
    <t xml:space="preserve">VENUE-SAAS</t>
  </si>
  <si>
    <t xml:space="preserve">Start verkoop (maand #)</t>
  </si>
  <si>
    <t xml:space="preserve">Pas verkopen met bewijs: &gt;=1.500 MAU + doorkliks per venue meetbaar. Eerder pitchen verbrandt de markt.</t>
  </si>
  <si>
    <t xml:space="preserve">Outreach venues/mnd</t>
  </si>
  <si>
    <t xml:space="preserve">Avondwerk-plafond: ~5 gerichte pitches/week (e-mail + 1 bezoek). Solo-constraint, geen sales-team.</t>
  </si>
  <si>
    <t xml:space="preserve">Close rate</t>
  </si>
  <si>
    <t xml:space="preserve">Galeries betalen al voor listings (Art Guide Australia / Art Almanac): budgetregel bestaat. 12% = 1 op 8 pitches.</t>
  </si>
  <si>
    <t xml:space="preserve">Venue-prijs A$/mnd</t>
  </si>
  <si>
    <t xml:space="preserve">Onder Art Guide-print-listingtarief; featured plaatsing + analytics + eigen media (foto/video/reel) + claim.</t>
  </si>
  <si>
    <t xml:space="preserve">Venue-churn %/mnd</t>
  </si>
  <si>
    <t xml:space="preserve">Kleine galeries sluiten/bezuinigen; 2,5%/mnd = ~26%/jaar. Skok: netto-retentie is de hele SaaS-case.</t>
  </si>
  <si>
    <t xml:space="preserve">Adresseerbare venues Sydney</t>
  </si>
  <si>
    <t xml:space="preserve">Register telt 143 venues (104 galleries/23 musea/16 ARI's); alleen commerciele galeries + betaalkrachtige non-profits kopen.</t>
  </si>
  <si>
    <t xml:space="preserve">Max. penetratie</t>
  </si>
  <si>
    <t xml:space="preserve">Art Guide haalt vergelijkbare dekking in AU; nooit 100% — een deel betaalt nooit ergens voor.</t>
  </si>
  <si>
    <t xml:space="preserve">Venue-CAC (A$)</t>
  </si>
  <si>
    <t xml:space="preserve">Founder-tijd + bezoek + demo; geen betaalde acquisitie.</t>
  </si>
  <si>
    <t xml:space="preserve">Venue-brutomarge</t>
  </si>
  <si>
    <t xml:space="preserve">Stripe-fees + support-tijd; software-marge.</t>
  </si>
  <si>
    <t xml:space="preserve">EXPANSIE</t>
  </si>
  <si>
    <t xml:space="preserve">Stad 2 launch (maand #)</t>
  </si>
  <si>
    <t xml:space="preserve">Alleen na Sydney-gates (zie strategiedoc §4). Basis: Melbourne, feb '28 rond Melbourne Art Fair. Bear: nooit (99).</t>
  </si>
  <si>
    <t xml:space="preserve">Adresseerbare venues stad 2</t>
  </si>
  <si>
    <t xml:space="preserve">Melbourne heeft meer galeries dan Sydney; Bull bundelt Melbourne+Brisbane.</t>
  </si>
  <si>
    <t xml:space="preserve">Organische downloads/mnd stad 2</t>
  </si>
  <si>
    <t xml:space="preserve">Zelfde playbook, maar met bewijs + AU-pers uit Sydney.</t>
  </si>
  <si>
    <t xml:space="preserve">KOSTEN (A$/mnd tenzij anders)</t>
  </si>
  <si>
    <t xml:space="preserve">Infra basis (Supabase Pro e.d.)</t>
  </si>
  <si>
    <t xml:space="preserve">Supabase Pro US$25 + storage/egress + Vercel/EAS-basis.</t>
  </si>
  <si>
    <t xml:space="preserve">Infra per MAU</t>
  </si>
  <si>
    <t xml:space="preserve">Egress/beeld-CDN schaalt met gebruik.</t>
  </si>
  <si>
    <t xml:space="preserve">AI-pipeline per stad</t>
  </si>
  <si>
    <t xml:space="preserve">Claude-calls validate/discover/enrich (cap 30 calls/run, zie supabase/functions) + web search.</t>
  </si>
  <si>
    <t xml:space="preserve">Tools (EAS, Resend, domein, mail)</t>
  </si>
  <si>
    <t xml:space="preserve">Expo EAS production US$0-99, Resend, domein, e-mail.</t>
  </si>
  <si>
    <t xml:space="preserve">Apple Developer /jaar</t>
  </si>
  <si>
    <t xml:space="preserve">US$99/jr; valt in M1, M13, M25.</t>
  </si>
  <si>
    <t xml:space="preserve">Marketing basis</t>
  </si>
  <si>
    <t xml:space="preserve">Posters, print bij venues, af en toe een boost. Geen structurele paid acquisitie.</t>
  </si>
  <si>
    <t xml:space="preserve">Fair-marketing (elke sept)</t>
  </si>
  <si>
    <t xml:space="preserve">Posters/QR rond Sydney Contemporary; guerrilla, geen stand.</t>
  </si>
  <si>
    <t xml:space="preserve">Oprichting/legal eenmalig (M1)</t>
  </si>
  <si>
    <t xml:space="preserve">Sole trader ABN + voorwaarden/privacy-templates. Pty Ltd pas bij venue-omzet.</t>
  </si>
  <si>
    <t xml:space="preserve">OVERIG</t>
  </si>
  <si>
    <t xml:space="preserve">Fair-partnership A$ (per sept, v.a. jr 2)</t>
  </si>
  <si>
    <t xml:space="preserve">Officiele agenda-partner/gids van 1 fair. Distributie-deal eerst, geld pas met bewezen publiek. Lumpy — nooit primair.</t>
  </si>
  <si>
    <t xml:space="preserve">ART EYE — scenario BEAR (A$, M1 = sep 2026)</t>
  </si>
  <si>
    <t xml:space="preserve">Alle regels zijn formules op blad Aannames + Retentie. Niets hier hard aanpassen.</t>
  </si>
  <si>
    <t xml:space="preserve">Mnd</t>
  </si>
  <si>
    <t xml:space="preserve">Kalender</t>
  </si>
  <si>
    <t xml:space="preserve">Downloads Sydney</t>
  </si>
  <si>
    <t xml:space="preserve">Downloads stad 2+</t>
  </si>
  <si>
    <t xml:space="preserve">Downloads totaal</t>
  </si>
  <si>
    <t xml:space="preserve">Nieuwe actieven</t>
  </si>
  <si>
    <t xml:space="preserve">MAU (cohort)</t>
  </si>
  <si>
    <t xml:space="preserve">Premium-abonnees</t>
  </si>
  <si>
    <t xml:space="preserve">Consumer-omzet netto</t>
  </si>
  <si>
    <t xml:space="preserve">Betalende venues</t>
  </si>
  <si>
    <t xml:space="preserve">Venue-MRR</t>
  </si>
  <si>
    <t xml:space="preserve">Fair/partnership</t>
  </si>
  <si>
    <t xml:space="preserve">Totale omzet</t>
  </si>
  <si>
    <t xml:space="preserve">Infra</t>
  </si>
  <si>
    <t xml:space="preserve">AI-pipeline</t>
  </si>
  <si>
    <t xml:space="preserve">Tools</t>
  </si>
  <si>
    <t xml:space="preserve">Apple</t>
  </si>
  <si>
    <t xml:space="preserve">Marketing</t>
  </si>
  <si>
    <t xml:space="preserve">Eenmalig</t>
  </si>
  <si>
    <t xml:space="preserve">Totale kosten</t>
  </si>
  <si>
    <t xml:space="preserve">Netto cashflow</t>
  </si>
  <si>
    <t xml:space="preserve">Cumulatief</t>
  </si>
  <si>
    <t xml:space="preserve">sep-26</t>
  </si>
  <si>
    <t xml:space="preserve">okt-26</t>
  </si>
  <si>
    <t xml:space="preserve">nov-26</t>
  </si>
  <si>
    <t xml:space="preserve">dec-26</t>
  </si>
  <si>
    <t xml:space="preserve">jan-27</t>
  </si>
  <si>
    <t xml:space="preserve">feb-27</t>
  </si>
  <si>
    <t xml:space="preserve">mrt-27</t>
  </si>
  <si>
    <t xml:space="preserve">apr-27</t>
  </si>
  <si>
    <t xml:space="preserve">mei-27</t>
  </si>
  <si>
    <t xml:space="preserve">jun-27</t>
  </si>
  <si>
    <t xml:space="preserve">jul-27</t>
  </si>
  <si>
    <t xml:space="preserve">aug-27</t>
  </si>
  <si>
    <t xml:space="preserve">sep-27</t>
  </si>
  <si>
    <t xml:space="preserve">okt-27</t>
  </si>
  <si>
    <t xml:space="preserve">nov-27</t>
  </si>
  <si>
    <t xml:space="preserve">dec-27</t>
  </si>
  <si>
    <t xml:space="preserve">jan-28</t>
  </si>
  <si>
    <t xml:space="preserve">feb-28</t>
  </si>
  <si>
    <t xml:space="preserve">mrt-28</t>
  </si>
  <si>
    <t xml:space="preserve">apr-28</t>
  </si>
  <si>
    <t xml:space="preserve">mei-28</t>
  </si>
  <si>
    <t xml:space="preserve">jun-28</t>
  </si>
  <si>
    <t xml:space="preserve">jul-28</t>
  </si>
  <si>
    <t xml:space="preserve">aug-28</t>
  </si>
  <si>
    <t xml:space="preserve">sep-28</t>
  </si>
  <si>
    <t xml:space="preserve">okt-28</t>
  </si>
  <si>
    <t xml:space="preserve">nov-28</t>
  </si>
  <si>
    <t xml:space="preserve">dec-28</t>
  </si>
  <si>
    <t xml:space="preserve">jan-29</t>
  </si>
  <si>
    <t xml:space="preserve">feb-29</t>
  </si>
  <si>
    <t xml:space="preserve">mrt-29</t>
  </si>
  <si>
    <t xml:space="preserve">apr-29</t>
  </si>
  <si>
    <t xml:space="preserve">mei-29</t>
  </si>
  <si>
    <t xml:space="preserve">jun-29</t>
  </si>
  <si>
    <t xml:space="preserve">jul-29</t>
  </si>
  <si>
    <t xml:space="preserve">aug-29</t>
  </si>
  <si>
    <t xml:space="preserve">KPI's</t>
  </si>
  <si>
    <t xml:space="preserve">MAU M12</t>
  </si>
  <si>
    <t xml:space="preserve">MAU M24</t>
  </si>
  <si>
    <t xml:space="preserve">MAU M36</t>
  </si>
  <si>
    <t xml:space="preserve">Betalende venues M36</t>
  </si>
  <si>
    <t xml:space="preserve">MRR M36 (venue + consumer)</t>
  </si>
  <si>
    <t xml:space="preserve">Omzet jaar 3 (M25-M36)</t>
  </si>
  <si>
    <t xml:space="preserve">Blended ARPU M36 (A$/MAU/mnd)</t>
  </si>
  <si>
    <t xml:space="preserve">Consumer-LTV per geactiveerde gebruiker</t>
  </si>
  <si>
    <t xml:space="preserve">Blended consumer-CAC (marketing/actieve)</t>
  </si>
  <si>
    <t xml:space="preserve">LTV:CAC consumer</t>
  </si>
  <si>
    <t xml:space="preserve">Venue-LTV (prijs x marge / churn)</t>
  </si>
  <si>
    <t xml:space="preserve">Venue-CAC</t>
  </si>
  <si>
    <t xml:space="preserve">LTV:CAC venue</t>
  </si>
  <si>
    <t xml:space="preserve">Venue-payback (mnd)</t>
  </si>
  <si>
    <t xml:space="preserve">Max. cumulatieve burn</t>
  </si>
  <si>
    <t xml:space="preserve">Cumulatieve cashflow M36</t>
  </si>
  <si>
    <t xml:space="preserve">Break-even (cumulatief), maand #</t>
  </si>
  <si>
    <t xml:space="preserve">Break-even-telling klopt zodra het cumulatief na de eerste kruising positief blijft (in alle drie scenario's het geval).</t>
  </si>
  <si>
    <t xml:space="preserve">Cohort \ kalendermaand</t>
  </si>
  <si>
    <t xml:space="preserve">MAU</t>
  </si>
  <si>
    <t xml:space="preserve">ART EYE — scenario BASIS (A$, M1 = sep 2026)</t>
  </si>
  <si>
    <t xml:space="preserve">ART EYE — scenario BULL (A$, M1 = sep 2026)</t>
  </si>
  <si>
    <t xml:space="preserve">SENSITIVITEIT (live formules; A$)</t>
  </si>
  <si>
    <t xml:space="preserve">1. Venue-MRR: betalende venues x prijs/mnd</t>
  </si>
  <si>
    <t xml:space="preserve">Sydney-plafond Basis: 70 venues x 35% = ~24 betalend -&gt; A$1.100 MRR. Het plafond zit in dekking, niet prijs.</t>
  </si>
  <si>
    <t xml:space="preserve">2. Consumer netto-omzet/mnd: MAU x conversie (prijs+fee = Basis-aannames)</t>
  </si>
  <si>
    <t xml:space="preserve">Zelfs 8.000 MAU x 5% = ~A$1.500/mnd. Consumer betaalt het feestje nooit alleen.</t>
  </si>
  <si>
    <t xml:space="preserve">3. Venue-LTV: prijs x churn (marge = Basis 94%; CAC Basis = A$120)</t>
  </si>
  <si>
    <t xml:space="preserve">Bij A$45 en 2,5% churn: LTV ~A$1.690 vs CAC A$120 -&gt; 14:1. Unit-economics zijn nooit het probleem; volume per stad wel.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</si>
</sst>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"/>
    <numFmt numFmtId="167" formatCode="#,##0;\(#,##0\);\-"/>
    <numFmt numFmtId="168" formatCode="&quot;A$&quot;#,##0.00;&quot;(A$&quot;#,##0.00\);\-"/>
    <numFmt numFmtId="169" formatCode="&quot;A$&quot;#,##0;&quot;(A$&quot;#,##0\);\-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6" style="0" width="90"/>
  </cols>
  <sheetData>
    <row r="1" customFormat="false" ht="32.8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F1" s="6" t="s">
        <v>22</v>
      </c>
    </row>
    <row r="2" customFormat="false" ht="15" hidden="false" customHeight="false" outlineLevel="0" collapsed="false">
      <c r="A2" s="7" t="n">
        <v>0</v>
      </c>
      <c r="B2" s="8" t="n">
        <v>1</v>
      </c>
      <c r="C2" s="8" t="n">
        <v>1</v>
      </c>
      <c r="D2" s="8" t="n">
        <v>1</v>
      </c>
    </row>
    <row r="3" customFormat="false" ht="15" hidden="false" customHeight="false" outlineLevel="0" collapsed="false">
      <c r="A3" s="7" t="n">
        <v>1</v>
      </c>
      <c r="B3" s="8" t="n">
        <v>0.28</v>
      </c>
      <c r="C3" s="8" t="n">
        <v>0.4</v>
      </c>
      <c r="D3" s="8" t="n">
        <v>0.52</v>
      </c>
    </row>
    <row r="4" customFormat="false" ht="15" hidden="false" customHeight="false" outlineLevel="0" collapsed="false">
      <c r="A4" s="7" t="n">
        <v>2</v>
      </c>
      <c r="B4" s="8" t="n">
        <v>0.18</v>
      </c>
      <c r="C4" s="8" t="n">
        <v>0.3</v>
      </c>
      <c r="D4" s="8" t="n">
        <v>0.42</v>
      </c>
    </row>
    <row r="5" customFormat="false" ht="15" hidden="false" customHeight="false" outlineLevel="0" collapsed="false">
      <c r="A5" s="7" t="n">
        <v>3</v>
      </c>
      <c r="B5" s="8" t="n">
        <v>0.13</v>
      </c>
      <c r="C5" s="8" t="n">
        <v>0.24</v>
      </c>
      <c r="D5" s="8" t="n">
        <v>0.35</v>
      </c>
    </row>
    <row r="6" customFormat="false" ht="15" hidden="false" customHeight="false" outlineLevel="0" collapsed="false">
      <c r="A6" s="7" t="n">
        <v>4</v>
      </c>
      <c r="B6" s="8" t="n">
        <v>0.1</v>
      </c>
      <c r="C6" s="8" t="n">
        <v>0.2</v>
      </c>
      <c r="D6" s="8" t="n">
        <v>0.31</v>
      </c>
    </row>
    <row r="7" customFormat="false" ht="15" hidden="false" customHeight="false" outlineLevel="0" collapsed="false">
      <c r="A7" s="7" t="n">
        <v>5</v>
      </c>
      <c r="B7" s="8" t="n">
        <v>0.085</v>
      </c>
      <c r="C7" s="8" t="n">
        <v>0.18</v>
      </c>
      <c r="D7" s="8" t="n">
        <v>0.28</v>
      </c>
    </row>
    <row r="8" customFormat="false" ht="15" hidden="false" customHeight="false" outlineLevel="0" collapsed="false">
      <c r="A8" s="7" t="n">
        <v>6</v>
      </c>
      <c r="B8" s="8" t="n">
        <v>0.075</v>
      </c>
      <c r="C8" s="8" t="n">
        <v>0.16</v>
      </c>
      <c r="D8" s="8" t="n">
        <v>0.26</v>
      </c>
    </row>
    <row r="9" customFormat="false" ht="15" hidden="false" customHeight="false" outlineLevel="0" collapsed="false">
      <c r="A9" s="7" t="n">
        <v>7</v>
      </c>
      <c r="B9" s="8" t="n">
        <v>0.068</v>
      </c>
      <c r="C9" s="8" t="n">
        <v>0.15</v>
      </c>
      <c r="D9" s="8" t="n">
        <v>0.245</v>
      </c>
    </row>
    <row r="10" customFormat="false" ht="15" hidden="false" customHeight="false" outlineLevel="0" collapsed="false">
      <c r="A10" s="7" t="n">
        <v>8</v>
      </c>
      <c r="B10" s="8" t="n">
        <v>0.062</v>
      </c>
      <c r="C10" s="8" t="n">
        <v>0.14</v>
      </c>
      <c r="D10" s="8" t="n">
        <v>0.235</v>
      </c>
    </row>
    <row r="11" customFormat="false" ht="15" hidden="false" customHeight="false" outlineLevel="0" collapsed="false">
      <c r="A11" s="7" t="n">
        <v>9</v>
      </c>
      <c r="B11" s="8" t="n">
        <v>0.058</v>
      </c>
      <c r="C11" s="8" t="n">
        <v>0.13</v>
      </c>
      <c r="D11" s="8" t="n">
        <v>0.225</v>
      </c>
    </row>
    <row r="12" customFormat="false" ht="15" hidden="false" customHeight="false" outlineLevel="0" collapsed="false">
      <c r="A12" s="7" t="n">
        <v>10</v>
      </c>
      <c r="B12" s="8" t="n">
        <v>0.054</v>
      </c>
      <c r="C12" s="8" t="n">
        <v>0.12</v>
      </c>
      <c r="D12" s="8" t="n">
        <v>0.215</v>
      </c>
    </row>
    <row r="13" customFormat="false" ht="15" hidden="false" customHeight="false" outlineLevel="0" collapsed="false">
      <c r="A13" s="7" t="n">
        <v>11</v>
      </c>
      <c r="B13" s="8" t="n">
        <v>0.051</v>
      </c>
      <c r="C13" s="8" t="n">
        <v>0.115</v>
      </c>
      <c r="D13" s="8" t="n">
        <v>0.21</v>
      </c>
    </row>
    <row r="14" customFormat="false" ht="15" hidden="false" customHeight="false" outlineLevel="0" collapsed="false">
      <c r="A14" s="7" t="n">
        <v>12</v>
      </c>
      <c r="B14" s="8" t="n">
        <v>0.048</v>
      </c>
      <c r="C14" s="8" t="n">
        <v>0.11</v>
      </c>
      <c r="D14" s="8" t="n">
        <v>0.205</v>
      </c>
    </row>
    <row r="15" customFormat="false" ht="15" hidden="false" customHeight="false" outlineLevel="0" collapsed="false">
      <c r="A15" s="7" t="n">
        <v>13</v>
      </c>
      <c r="B15" s="8" t="n">
        <v>0.046</v>
      </c>
      <c r="C15" s="8" t="n">
        <v>0.108</v>
      </c>
      <c r="D15" s="8" t="n">
        <v>0.2</v>
      </c>
    </row>
    <row r="16" customFormat="false" ht="15" hidden="false" customHeight="false" outlineLevel="0" collapsed="false">
      <c r="A16" s="7" t="n">
        <v>14</v>
      </c>
      <c r="B16" s="8" t="n">
        <v>0.044</v>
      </c>
      <c r="C16" s="8" t="n">
        <v>0.106</v>
      </c>
      <c r="D16" s="8" t="n">
        <v>0.198</v>
      </c>
    </row>
    <row r="17" customFormat="false" ht="15" hidden="false" customHeight="false" outlineLevel="0" collapsed="false">
      <c r="A17" s="7" t="n">
        <v>15</v>
      </c>
      <c r="B17" s="8" t="n">
        <v>0.043</v>
      </c>
      <c r="C17" s="8" t="n">
        <v>0.104</v>
      </c>
      <c r="D17" s="8" t="n">
        <v>0.196</v>
      </c>
    </row>
    <row r="18" customFormat="false" ht="15" hidden="false" customHeight="false" outlineLevel="0" collapsed="false">
      <c r="A18" s="7" t="n">
        <v>16</v>
      </c>
      <c r="B18" s="8" t="n">
        <v>0.042</v>
      </c>
      <c r="C18" s="8" t="n">
        <v>0.102</v>
      </c>
      <c r="D18" s="8" t="n">
        <v>0.194</v>
      </c>
    </row>
    <row r="19" customFormat="false" ht="15" hidden="false" customHeight="false" outlineLevel="0" collapsed="false">
      <c r="A19" s="7" t="n">
        <v>17</v>
      </c>
      <c r="B19" s="8" t="n">
        <v>0.041</v>
      </c>
      <c r="C19" s="8" t="n">
        <v>0.1</v>
      </c>
      <c r="D19" s="8" t="n">
        <v>0.192</v>
      </c>
    </row>
    <row r="20" customFormat="false" ht="15" hidden="false" customHeight="false" outlineLevel="0" collapsed="false">
      <c r="A20" s="7" t="n">
        <v>18</v>
      </c>
      <c r="B20" s="8" t="n">
        <v>0.04</v>
      </c>
      <c r="C20" s="8" t="n">
        <v>0.098</v>
      </c>
      <c r="D20" s="8" t="n">
        <v>0.19</v>
      </c>
    </row>
    <row r="21" customFormat="false" ht="15" hidden="false" customHeight="false" outlineLevel="0" collapsed="false">
      <c r="A21" s="7" t="n">
        <v>19</v>
      </c>
      <c r="B21" s="8" t="n">
        <v>0.039</v>
      </c>
      <c r="C21" s="8" t="n">
        <v>0.097</v>
      </c>
      <c r="D21" s="8" t="n">
        <v>0.188</v>
      </c>
    </row>
    <row r="22" customFormat="false" ht="15" hidden="false" customHeight="false" outlineLevel="0" collapsed="false">
      <c r="A22" s="7" t="n">
        <v>20</v>
      </c>
      <c r="B22" s="8" t="n">
        <v>0.038</v>
      </c>
      <c r="C22" s="8" t="n">
        <v>0.096</v>
      </c>
      <c r="D22" s="8" t="n">
        <v>0.186</v>
      </c>
    </row>
    <row r="23" customFormat="false" ht="15" hidden="false" customHeight="false" outlineLevel="0" collapsed="false">
      <c r="A23" s="7" t="n">
        <v>21</v>
      </c>
      <c r="B23" s="8" t="n">
        <v>0.037</v>
      </c>
      <c r="C23" s="8" t="n">
        <v>0.095</v>
      </c>
      <c r="D23" s="8" t="n">
        <v>0.184</v>
      </c>
    </row>
    <row r="24" customFormat="false" ht="15" hidden="false" customHeight="false" outlineLevel="0" collapsed="false">
      <c r="A24" s="7" t="n">
        <v>22</v>
      </c>
      <c r="B24" s="8" t="n">
        <v>0.036</v>
      </c>
      <c r="C24" s="8" t="n">
        <v>0.094</v>
      </c>
      <c r="D24" s="8" t="n">
        <v>0.183</v>
      </c>
    </row>
    <row r="25" customFormat="false" ht="15" hidden="false" customHeight="false" outlineLevel="0" collapsed="false">
      <c r="A25" s="7" t="n">
        <v>23</v>
      </c>
      <c r="B25" s="8" t="n">
        <v>0.035</v>
      </c>
      <c r="C25" s="8" t="n">
        <v>0.093</v>
      </c>
      <c r="D25" s="8" t="n">
        <v>0.182</v>
      </c>
    </row>
    <row r="26" customFormat="false" ht="15" hidden="false" customHeight="false" outlineLevel="0" collapsed="false">
      <c r="A26" s="7" t="n">
        <v>24</v>
      </c>
      <c r="B26" s="8" t="n">
        <v>0.034</v>
      </c>
      <c r="C26" s="8" t="n">
        <v>0.092</v>
      </c>
      <c r="D26" s="8" t="n">
        <v>0.181</v>
      </c>
    </row>
    <row r="27" customFormat="false" ht="15" hidden="false" customHeight="false" outlineLevel="0" collapsed="false">
      <c r="A27" s="7" t="n">
        <v>25</v>
      </c>
      <c r="B27" s="8" t="n">
        <v>0.033</v>
      </c>
      <c r="C27" s="8" t="n">
        <v>0.091</v>
      </c>
      <c r="D27" s="8" t="n">
        <v>0.18</v>
      </c>
    </row>
    <row r="28" customFormat="false" ht="15" hidden="false" customHeight="false" outlineLevel="0" collapsed="false">
      <c r="A28" s="7" t="n">
        <v>26</v>
      </c>
      <c r="B28" s="8" t="n">
        <v>0.032</v>
      </c>
      <c r="C28" s="8" t="n">
        <v>0.09</v>
      </c>
      <c r="D28" s="8" t="n">
        <v>0.179</v>
      </c>
    </row>
    <row r="29" customFormat="false" ht="15" hidden="false" customHeight="false" outlineLevel="0" collapsed="false">
      <c r="A29" s="7" t="n">
        <v>27</v>
      </c>
      <c r="B29" s="8" t="n">
        <v>0.031</v>
      </c>
      <c r="C29" s="8" t="n">
        <v>0.089</v>
      </c>
      <c r="D29" s="8" t="n">
        <v>0.178</v>
      </c>
    </row>
    <row r="30" customFormat="false" ht="15" hidden="false" customHeight="false" outlineLevel="0" collapsed="false">
      <c r="A30" s="7" t="n">
        <v>28</v>
      </c>
      <c r="B30" s="8" t="n">
        <v>0.03</v>
      </c>
      <c r="C30" s="8" t="n">
        <v>0.088</v>
      </c>
      <c r="D30" s="8" t="n">
        <v>0.177</v>
      </c>
    </row>
    <row r="31" customFormat="false" ht="15" hidden="false" customHeight="false" outlineLevel="0" collapsed="false">
      <c r="A31" s="7" t="n">
        <v>29</v>
      </c>
      <c r="B31" s="8" t="n">
        <v>0.03</v>
      </c>
      <c r="C31" s="8" t="n">
        <v>0.087</v>
      </c>
      <c r="D31" s="8" t="n">
        <v>0.176</v>
      </c>
    </row>
    <row r="32" customFormat="false" ht="15" hidden="false" customHeight="false" outlineLevel="0" collapsed="false">
      <c r="A32" s="7" t="n">
        <v>30</v>
      </c>
      <c r="B32" s="8" t="n">
        <v>0.029</v>
      </c>
      <c r="C32" s="8" t="n">
        <v>0.086</v>
      </c>
      <c r="D32" s="8" t="n">
        <v>0.175</v>
      </c>
    </row>
    <row r="33" customFormat="false" ht="15" hidden="false" customHeight="false" outlineLevel="0" collapsed="false">
      <c r="A33" s="7" t="n">
        <v>31</v>
      </c>
      <c r="B33" s="8" t="n">
        <v>0.029</v>
      </c>
      <c r="C33" s="8" t="n">
        <v>0.085</v>
      </c>
      <c r="D33" s="8" t="n">
        <v>0.174</v>
      </c>
    </row>
    <row r="34" customFormat="false" ht="15" hidden="false" customHeight="false" outlineLevel="0" collapsed="false">
      <c r="A34" s="7" t="n">
        <v>32</v>
      </c>
      <c r="B34" s="8" t="n">
        <v>0.028</v>
      </c>
      <c r="C34" s="8" t="n">
        <v>0.084</v>
      </c>
      <c r="D34" s="8" t="n">
        <v>0.173</v>
      </c>
    </row>
    <row r="35" customFormat="false" ht="15" hidden="false" customHeight="false" outlineLevel="0" collapsed="false">
      <c r="A35" s="7" t="n">
        <v>33</v>
      </c>
      <c r="B35" s="8" t="n">
        <v>0.028</v>
      </c>
      <c r="C35" s="8" t="n">
        <v>0.083</v>
      </c>
      <c r="D35" s="8" t="n">
        <v>0.172</v>
      </c>
    </row>
    <row r="36" customFormat="false" ht="15" hidden="false" customHeight="false" outlineLevel="0" collapsed="false">
      <c r="A36" s="7" t="n">
        <v>34</v>
      </c>
      <c r="B36" s="8" t="n">
        <v>0.027</v>
      </c>
      <c r="C36" s="8" t="n">
        <v>0.082</v>
      </c>
      <c r="D36" s="8" t="n">
        <v>0.171</v>
      </c>
    </row>
    <row r="37" customFormat="false" ht="15" hidden="false" customHeight="false" outlineLevel="0" collapsed="false">
      <c r="A37" s="7" t="n">
        <v>35</v>
      </c>
      <c r="B37" s="8" t="n">
        <v>0.027</v>
      </c>
      <c r="C37" s="8" t="n">
        <v>0.081</v>
      </c>
      <c r="D37" s="8" t="n">
        <v>0.17</v>
      </c>
    </row>
    <row r="38" customFormat="false" ht="15" hidden="false" customHeight="false" outlineLevel="0" collapsed="false">
      <c r="A38" s="5" t="s">
        <v>23</v>
      </c>
      <c r="B38" s="9" t="n">
        <f aca="false">SUM(B2:B37)</f>
        <v>2.99</v>
      </c>
      <c r="C38" s="9" t="n">
        <f aca="false">SUM(C2:C37)</f>
        <v>5.376</v>
      </c>
      <c r="D38" s="9" t="n">
        <f aca="false">SUM(D2:D37)</f>
        <v>8.674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95"/>
  </cols>
  <sheetData>
    <row r="1" customFormat="false" ht="16.1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11" t="s">
        <v>25</v>
      </c>
      <c r="B2" s="11" t="s">
        <v>19</v>
      </c>
      <c r="C2" s="11" t="s">
        <v>20</v>
      </c>
      <c r="D2" s="11" t="s">
        <v>21</v>
      </c>
      <c r="E2" s="11" t="s">
        <v>26</v>
      </c>
    </row>
    <row r="3" customFormat="false" ht="15" hidden="false" customHeight="false" outlineLevel="0" collapsed="false">
      <c r="A3" s="12" t="s">
        <v>27</v>
      </c>
      <c r="E3" s="6"/>
    </row>
    <row r="4" customFormat="false" ht="15" hidden="false" customHeight="false" outlineLevel="0" collapsed="false">
      <c r="A4" s="13" t="s">
        <v>28</v>
      </c>
      <c r="B4" s="14" t="n">
        <v>500</v>
      </c>
      <c r="C4" s="14" t="n">
        <v>900</v>
      </c>
      <c r="D4" s="14" t="n">
        <v>1500</v>
      </c>
      <c r="E4" s="6" t="s">
        <v>29</v>
      </c>
    </row>
    <row r="5" customFormat="false" ht="15" hidden="false" customHeight="false" outlineLevel="0" collapsed="false">
      <c r="A5" s="13" t="s">
        <v>30</v>
      </c>
      <c r="B5" s="14" t="n">
        <v>140</v>
      </c>
      <c r="C5" s="14" t="n">
        <v>260</v>
      </c>
      <c r="D5" s="14" t="n">
        <v>400</v>
      </c>
      <c r="E5" s="6" t="s">
        <v>31</v>
      </c>
    </row>
    <row r="6" customFormat="false" ht="15" hidden="false" customHeight="false" outlineLevel="0" collapsed="false">
      <c r="A6" s="13" t="s">
        <v>32</v>
      </c>
      <c r="B6" s="8" t="n">
        <v>0</v>
      </c>
      <c r="C6" s="8" t="n">
        <v>0.04</v>
      </c>
      <c r="D6" s="8" t="n">
        <v>0.06</v>
      </c>
      <c r="E6" s="6" t="s">
        <v>33</v>
      </c>
    </row>
    <row r="7" customFormat="false" ht="15" hidden="false" customHeight="false" outlineLevel="0" collapsed="false">
      <c r="A7" s="13" t="s">
        <v>34</v>
      </c>
      <c r="B7" s="8" t="n">
        <v>0.8</v>
      </c>
      <c r="C7" s="8" t="n">
        <v>1.5</v>
      </c>
      <c r="D7" s="8" t="n">
        <v>2.5</v>
      </c>
      <c r="E7" s="6" t="s">
        <v>35</v>
      </c>
    </row>
    <row r="8" customFormat="false" ht="15" hidden="false" customHeight="false" outlineLevel="0" collapsed="false">
      <c r="A8" s="13" t="s">
        <v>36</v>
      </c>
      <c r="B8" s="15" t="n">
        <v>0.45</v>
      </c>
      <c r="C8" s="15" t="n">
        <v>0.55</v>
      </c>
      <c r="D8" s="15" t="n">
        <v>0.62</v>
      </c>
      <c r="E8" s="6" t="s">
        <v>37</v>
      </c>
    </row>
    <row r="9" customFormat="false" ht="15" hidden="false" customHeight="false" outlineLevel="0" collapsed="false">
      <c r="A9" s="13" t="s">
        <v>38</v>
      </c>
      <c r="B9" s="15" t="n">
        <v>0.01</v>
      </c>
      <c r="C9" s="15" t="n">
        <v>0.025</v>
      </c>
      <c r="D9" s="15" t="n">
        <v>0.04</v>
      </c>
      <c r="E9" s="6" t="s">
        <v>39</v>
      </c>
    </row>
    <row r="10" customFormat="false" ht="15" hidden="false" customHeight="false" outlineLevel="0" collapsed="false">
      <c r="A10" s="13" t="s">
        <v>40</v>
      </c>
      <c r="B10" s="16" t="n">
        <v>4.49</v>
      </c>
      <c r="C10" s="16" t="n">
        <v>4.49</v>
      </c>
      <c r="D10" s="16" t="n">
        <v>5.99</v>
      </c>
      <c r="E10" s="6" t="s">
        <v>41</v>
      </c>
    </row>
    <row r="11" customFormat="false" ht="15" hidden="false" customHeight="false" outlineLevel="0" collapsed="false">
      <c r="A11" s="13" t="s">
        <v>42</v>
      </c>
      <c r="B11" s="8" t="n">
        <v>0.15</v>
      </c>
      <c r="C11" s="8" t="n">
        <v>0.15</v>
      </c>
      <c r="D11" s="8" t="n">
        <v>0.15</v>
      </c>
      <c r="E11" s="6" t="s">
        <v>43</v>
      </c>
    </row>
    <row r="12" customFormat="false" ht="15" hidden="false" customHeight="false" outlineLevel="0" collapsed="false">
      <c r="A12" s="12" t="s">
        <v>44</v>
      </c>
      <c r="E12" s="6" t="s">
        <v>45</v>
      </c>
    </row>
    <row r="13" customFormat="false" ht="15" hidden="false" customHeight="false" outlineLevel="0" collapsed="false">
      <c r="A13" s="12" t="s">
        <v>46</v>
      </c>
      <c r="E13" s="6"/>
    </row>
    <row r="14" customFormat="false" ht="15" hidden="false" customHeight="false" outlineLevel="0" collapsed="false">
      <c r="A14" s="13" t="s">
        <v>47</v>
      </c>
      <c r="B14" s="17" t="n">
        <v>9</v>
      </c>
      <c r="C14" s="17" t="n">
        <v>7</v>
      </c>
      <c r="D14" s="17" t="n">
        <v>6</v>
      </c>
      <c r="E14" s="6" t="s">
        <v>48</v>
      </c>
    </row>
    <row r="15" customFormat="false" ht="15" hidden="false" customHeight="false" outlineLevel="0" collapsed="false">
      <c r="A15" s="13" t="s">
        <v>49</v>
      </c>
      <c r="B15" s="14" t="n">
        <v>12</v>
      </c>
      <c r="C15" s="14" t="n">
        <v>20</v>
      </c>
      <c r="D15" s="14" t="n">
        <v>25</v>
      </c>
      <c r="E15" s="6" t="s">
        <v>50</v>
      </c>
    </row>
    <row r="16" customFormat="false" ht="15" hidden="false" customHeight="false" outlineLevel="0" collapsed="false">
      <c r="A16" s="13" t="s">
        <v>51</v>
      </c>
      <c r="B16" s="15" t="n">
        <v>0.06</v>
      </c>
      <c r="C16" s="15" t="n">
        <v>0.12</v>
      </c>
      <c r="D16" s="15" t="n">
        <v>0.18</v>
      </c>
      <c r="E16" s="6" t="s">
        <v>52</v>
      </c>
    </row>
    <row r="17" customFormat="false" ht="15" hidden="false" customHeight="false" outlineLevel="0" collapsed="false">
      <c r="A17" s="13" t="s">
        <v>53</v>
      </c>
      <c r="B17" s="18" t="n">
        <v>39</v>
      </c>
      <c r="C17" s="18" t="n">
        <v>45</v>
      </c>
      <c r="D17" s="18" t="n">
        <v>55</v>
      </c>
      <c r="E17" s="6" t="s">
        <v>54</v>
      </c>
    </row>
    <row r="18" customFormat="false" ht="15" hidden="false" customHeight="false" outlineLevel="0" collapsed="false">
      <c r="A18" s="13" t="s">
        <v>55</v>
      </c>
      <c r="B18" s="15" t="n">
        <v>0.05</v>
      </c>
      <c r="C18" s="15" t="n">
        <v>0.025</v>
      </c>
      <c r="D18" s="15" t="n">
        <v>0.015</v>
      </c>
      <c r="E18" s="6" t="s">
        <v>56</v>
      </c>
    </row>
    <row r="19" customFormat="false" ht="15" hidden="false" customHeight="false" outlineLevel="0" collapsed="false">
      <c r="A19" s="13" t="s">
        <v>57</v>
      </c>
      <c r="B19" s="17" t="n">
        <v>60</v>
      </c>
      <c r="C19" s="17" t="n">
        <v>70</v>
      </c>
      <c r="D19" s="17" t="n">
        <v>80</v>
      </c>
      <c r="E19" s="6" t="s">
        <v>58</v>
      </c>
    </row>
    <row r="20" customFormat="false" ht="15" hidden="false" customHeight="false" outlineLevel="0" collapsed="false">
      <c r="A20" s="13" t="s">
        <v>59</v>
      </c>
      <c r="B20" s="8" t="n">
        <v>0.25</v>
      </c>
      <c r="C20" s="8" t="n">
        <v>0.35</v>
      </c>
      <c r="D20" s="8" t="n">
        <v>0.45</v>
      </c>
      <c r="E20" s="6" t="s">
        <v>60</v>
      </c>
    </row>
    <row r="21" customFormat="false" ht="15" hidden="false" customHeight="false" outlineLevel="0" collapsed="false">
      <c r="A21" s="13" t="s">
        <v>61</v>
      </c>
      <c r="B21" s="19" t="n">
        <v>150</v>
      </c>
      <c r="C21" s="19" t="n">
        <v>120</v>
      </c>
      <c r="D21" s="19" t="n">
        <v>100</v>
      </c>
      <c r="E21" s="6" t="s">
        <v>62</v>
      </c>
    </row>
    <row r="22" customFormat="false" ht="15" hidden="false" customHeight="false" outlineLevel="0" collapsed="false">
      <c r="A22" s="13" t="s">
        <v>63</v>
      </c>
      <c r="B22" s="8" t="n">
        <v>0.92</v>
      </c>
      <c r="C22" s="8" t="n">
        <v>0.94</v>
      </c>
      <c r="D22" s="8" t="n">
        <v>0.95</v>
      </c>
      <c r="E22" s="6" t="s">
        <v>64</v>
      </c>
    </row>
    <row r="23" customFormat="false" ht="15" hidden="false" customHeight="false" outlineLevel="0" collapsed="false">
      <c r="A23" s="12" t="s">
        <v>65</v>
      </c>
      <c r="E23" s="6"/>
    </row>
    <row r="24" customFormat="false" ht="15" hidden="false" customHeight="false" outlineLevel="0" collapsed="false">
      <c r="A24" s="13" t="s">
        <v>66</v>
      </c>
      <c r="B24" s="14" t="n">
        <v>99</v>
      </c>
      <c r="C24" s="14" t="n">
        <v>18</v>
      </c>
      <c r="D24" s="14" t="n">
        <v>13</v>
      </c>
      <c r="E24" s="6" t="s">
        <v>67</v>
      </c>
    </row>
    <row r="25" customFormat="false" ht="15" hidden="false" customHeight="false" outlineLevel="0" collapsed="false">
      <c r="A25" s="13" t="s">
        <v>68</v>
      </c>
      <c r="B25" s="17" t="n">
        <v>0</v>
      </c>
      <c r="C25" s="17" t="n">
        <v>85</v>
      </c>
      <c r="D25" s="17" t="n">
        <v>170</v>
      </c>
      <c r="E25" s="6" t="s">
        <v>69</v>
      </c>
    </row>
    <row r="26" customFormat="false" ht="15" hidden="false" customHeight="false" outlineLevel="0" collapsed="false">
      <c r="A26" s="13" t="s">
        <v>70</v>
      </c>
      <c r="B26" s="17" t="n">
        <v>0</v>
      </c>
      <c r="C26" s="17" t="n">
        <v>300</v>
      </c>
      <c r="D26" s="17" t="n">
        <v>500</v>
      </c>
      <c r="E26" s="6" t="s">
        <v>71</v>
      </c>
    </row>
    <row r="27" customFormat="false" ht="15" hidden="false" customHeight="false" outlineLevel="0" collapsed="false">
      <c r="A27" s="12" t="s">
        <v>72</v>
      </c>
      <c r="E27" s="6"/>
    </row>
    <row r="28" customFormat="false" ht="15" hidden="false" customHeight="false" outlineLevel="0" collapsed="false">
      <c r="A28" s="13" t="s">
        <v>73</v>
      </c>
      <c r="B28" s="19" t="n">
        <v>60</v>
      </c>
      <c r="C28" s="19" t="n">
        <v>60</v>
      </c>
      <c r="D28" s="19" t="n">
        <v>60</v>
      </c>
      <c r="E28" s="6" t="s">
        <v>74</v>
      </c>
    </row>
    <row r="29" customFormat="false" ht="15" hidden="false" customHeight="false" outlineLevel="0" collapsed="false">
      <c r="A29" s="13" t="s">
        <v>75</v>
      </c>
      <c r="B29" s="16" t="n">
        <v>0.02</v>
      </c>
      <c r="C29" s="16" t="n">
        <v>0.02</v>
      </c>
      <c r="D29" s="16" t="n">
        <v>0.02</v>
      </c>
      <c r="E29" s="6" t="s">
        <v>76</v>
      </c>
    </row>
    <row r="30" customFormat="false" ht="15" hidden="false" customHeight="false" outlineLevel="0" collapsed="false">
      <c r="A30" s="13" t="s">
        <v>77</v>
      </c>
      <c r="B30" s="19" t="n">
        <v>80</v>
      </c>
      <c r="C30" s="19" t="n">
        <v>80</v>
      </c>
      <c r="D30" s="19" t="n">
        <v>80</v>
      </c>
      <c r="E30" s="6" t="s">
        <v>78</v>
      </c>
    </row>
    <row r="31" customFormat="false" ht="15" hidden="false" customHeight="false" outlineLevel="0" collapsed="false">
      <c r="A31" s="13" t="s">
        <v>79</v>
      </c>
      <c r="B31" s="19" t="n">
        <v>70</v>
      </c>
      <c r="C31" s="19" t="n">
        <v>70</v>
      </c>
      <c r="D31" s="19" t="n">
        <v>70</v>
      </c>
      <c r="E31" s="6" t="s">
        <v>80</v>
      </c>
    </row>
    <row r="32" customFormat="false" ht="15" hidden="false" customHeight="false" outlineLevel="0" collapsed="false">
      <c r="A32" s="13" t="s">
        <v>81</v>
      </c>
      <c r="B32" s="19" t="n">
        <v>150</v>
      </c>
      <c r="C32" s="19" t="n">
        <v>150</v>
      </c>
      <c r="D32" s="19" t="n">
        <v>150</v>
      </c>
      <c r="E32" s="6" t="s">
        <v>82</v>
      </c>
    </row>
    <row r="33" customFormat="false" ht="15" hidden="false" customHeight="false" outlineLevel="0" collapsed="false">
      <c r="A33" s="13" t="s">
        <v>83</v>
      </c>
      <c r="B33" s="18" t="n">
        <v>50</v>
      </c>
      <c r="C33" s="18" t="n">
        <v>150</v>
      </c>
      <c r="D33" s="18" t="n">
        <v>300</v>
      </c>
      <c r="E33" s="6" t="s">
        <v>84</v>
      </c>
    </row>
    <row r="34" customFormat="false" ht="15" hidden="false" customHeight="false" outlineLevel="0" collapsed="false">
      <c r="A34" s="13" t="s">
        <v>85</v>
      </c>
      <c r="B34" s="19" t="n">
        <v>300</v>
      </c>
      <c r="C34" s="19" t="n">
        <v>800</v>
      </c>
      <c r="D34" s="19" t="n">
        <v>1500</v>
      </c>
      <c r="E34" s="6" t="s">
        <v>86</v>
      </c>
    </row>
    <row r="35" customFormat="false" ht="15" hidden="false" customHeight="false" outlineLevel="0" collapsed="false">
      <c r="A35" s="13" t="s">
        <v>87</v>
      </c>
      <c r="B35" s="19" t="n">
        <v>400</v>
      </c>
      <c r="C35" s="19" t="n">
        <v>400</v>
      </c>
      <c r="D35" s="19" t="n">
        <v>400</v>
      </c>
      <c r="E35" s="6" t="s">
        <v>88</v>
      </c>
    </row>
    <row r="36" customFormat="false" ht="15" hidden="false" customHeight="false" outlineLevel="0" collapsed="false">
      <c r="A36" s="12" t="s">
        <v>89</v>
      </c>
      <c r="E36" s="6"/>
    </row>
    <row r="37" customFormat="false" ht="15" hidden="false" customHeight="false" outlineLevel="0" collapsed="false">
      <c r="A37" s="13" t="s">
        <v>90</v>
      </c>
      <c r="B37" s="19" t="n">
        <v>0</v>
      </c>
      <c r="C37" s="19" t="n">
        <v>5000</v>
      </c>
      <c r="D37" s="19" t="n">
        <v>10000</v>
      </c>
      <c r="E37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22" min="3" style="0" width="11"/>
  </cols>
  <sheetData>
    <row r="1" customFormat="false" ht="16.15" hidden="false" customHeight="false" outlineLevel="0" collapsed="false">
      <c r="A1" s="10" t="s">
        <v>92</v>
      </c>
    </row>
    <row r="2" customFormat="false" ht="15" hidden="false" customHeight="false" outlineLevel="0" collapsed="false">
      <c r="A2" s="20" t="s">
        <v>93</v>
      </c>
    </row>
    <row r="7" customFormat="false" ht="23.85" hidden="false" customHeight="false" outlineLevel="0" collapsed="false">
      <c r="A7" s="21" t="s">
        <v>94</v>
      </c>
      <c r="B7" s="21" t="s">
        <v>95</v>
      </c>
      <c r="C7" s="21" t="s">
        <v>96</v>
      </c>
      <c r="D7" s="21" t="s">
        <v>97</v>
      </c>
      <c r="E7" s="21" t="s">
        <v>98</v>
      </c>
      <c r="F7" s="21" t="s">
        <v>99</v>
      </c>
      <c r="G7" s="21" t="s">
        <v>100</v>
      </c>
      <c r="H7" s="21" t="s">
        <v>101</v>
      </c>
      <c r="I7" s="21" t="s">
        <v>102</v>
      </c>
      <c r="J7" s="21" t="s">
        <v>103</v>
      </c>
      <c r="K7" s="21" t="s">
        <v>104</v>
      </c>
      <c r="L7" s="21" t="s">
        <v>105</v>
      </c>
      <c r="M7" s="21" t="s">
        <v>106</v>
      </c>
      <c r="N7" s="21" t="s">
        <v>107</v>
      </c>
      <c r="O7" s="21" t="s">
        <v>108</v>
      </c>
      <c r="P7" s="21" t="s">
        <v>109</v>
      </c>
      <c r="Q7" s="21" t="s">
        <v>110</v>
      </c>
      <c r="R7" s="21" t="s">
        <v>111</v>
      </c>
      <c r="S7" s="21" t="s">
        <v>112</v>
      </c>
      <c r="T7" s="21" t="s">
        <v>113</v>
      </c>
      <c r="U7" s="21" t="s">
        <v>114</v>
      </c>
      <c r="V7" s="21" t="s">
        <v>115</v>
      </c>
    </row>
    <row r="8" customFormat="false" ht="15" hidden="false" customHeight="false" outlineLevel="0" collapsed="false">
      <c r="A8" s="7" t="n">
        <v>1</v>
      </c>
      <c r="B8" s="7" t="s">
        <v>116</v>
      </c>
      <c r="C8" s="22" t="n">
        <f aca="false">Aannames!$B$4</f>
        <v>500</v>
      </c>
      <c r="D8" s="22" t="n">
        <f aca="false">IF(A8&gt;=Aannames!$B$24,Aannames!$B$26*(1+Aannames!$B$6)^(A8-Aannames!$B$24),0)</f>
        <v>0</v>
      </c>
      <c r="E8" s="22" t="n">
        <f aca="false">C8+D8</f>
        <v>500</v>
      </c>
      <c r="F8" s="22" t="n">
        <f aca="false">E8*Aannames!$B$8</f>
        <v>225</v>
      </c>
      <c r="G8" s="23" t="n">
        <f aca="false">CohortBear!B$38</f>
        <v>225</v>
      </c>
      <c r="H8" s="22" t="n">
        <f aca="false">G8*Aannames!$B$9</f>
        <v>2.25</v>
      </c>
      <c r="I8" s="24" t="n">
        <f aca="false">H8*Aannames!$B$10*(1-Aannames!$B$11)</f>
        <v>8.587125</v>
      </c>
      <c r="J8" s="25" t="n">
        <f aca="false">MIN(IF(A8&gt;=Aannames!$B$14,Aannames!$B$15*Aannames!$B$16,0),(Aannames!$B$19+IF(A8&gt;=Aannames!$B$24,Aannames!$B$25,0))*Aannames!$B$20)</f>
        <v>0</v>
      </c>
      <c r="K8" s="24" t="n">
        <f aca="false">J8*Aannames!$B$17</f>
        <v>0</v>
      </c>
      <c r="L8" s="24" t="n">
        <f aca="false">IF(AND(A8&gt;12,MOD(A8-1,12)=0),Aannames!$B$37,0)</f>
        <v>0</v>
      </c>
      <c r="M8" s="24" t="n">
        <f aca="false">I8+K8+L8</f>
        <v>8.587125</v>
      </c>
      <c r="N8" s="24" t="n">
        <f aca="false">Aannames!$B$28+G8*Aannames!$B$29</f>
        <v>64.5</v>
      </c>
      <c r="O8" s="24" t="n">
        <f aca="false">Aannames!$B$30*(1+IF(A8&gt;=Aannames!$B$24,1,0))</f>
        <v>80</v>
      </c>
      <c r="P8" s="24" t="n">
        <f aca="false">Aannames!$B$31</f>
        <v>70</v>
      </c>
      <c r="Q8" s="24" t="n">
        <f aca="false">IF(MOD(A8-1,12)=0,Aannames!$B$32,0)</f>
        <v>150</v>
      </c>
      <c r="R8" s="24" t="n">
        <f aca="false">Aannames!$B$33+IF(MOD(A8-1,12)=0,Aannames!$B$34,0)</f>
        <v>350</v>
      </c>
      <c r="S8" s="24" t="n">
        <f aca="false">IF(A8=1,Aannames!$B$35,0)</f>
        <v>400</v>
      </c>
      <c r="T8" s="24" t="n">
        <f aca="false">SUM(N8:S8)</f>
        <v>1114.5</v>
      </c>
      <c r="U8" s="24" t="n">
        <f aca="false">M8-T8</f>
        <v>-1105.912875</v>
      </c>
      <c r="V8" s="24" t="n">
        <f aca="false">U8</f>
        <v>-1105.912875</v>
      </c>
    </row>
    <row r="9" customFormat="false" ht="15" hidden="false" customHeight="false" outlineLevel="0" collapsed="false">
      <c r="A9" s="7" t="n">
        <v>2</v>
      </c>
      <c r="B9" s="7" t="s">
        <v>117</v>
      </c>
      <c r="C9" s="22" t="n">
        <f aca="false">Aannames!$B$5*(1+Aannames!$B$6)^(A9-2)*(1+IF(MOD(A9-1,12)=0,Aannames!$B$7,0))</f>
        <v>140</v>
      </c>
      <c r="D9" s="22" t="n">
        <f aca="false">IF(A9&gt;=Aannames!$B$24,Aannames!$B$26*(1+Aannames!$B$6)^(A9-Aannames!$B$24),0)</f>
        <v>0</v>
      </c>
      <c r="E9" s="22" t="n">
        <f aca="false">C9+D9</f>
        <v>140</v>
      </c>
      <c r="F9" s="22" t="n">
        <f aca="false">E9*Aannames!$B$8</f>
        <v>63</v>
      </c>
      <c r="G9" s="23" t="n">
        <f aca="false">CohortBear!C$38</f>
        <v>126</v>
      </c>
      <c r="H9" s="22" t="n">
        <f aca="false">G9*Aannames!$B$9</f>
        <v>1.26</v>
      </c>
      <c r="I9" s="24" t="n">
        <f aca="false">H9*Aannames!$B$10*(1-Aannames!$B$11)</f>
        <v>4.80879</v>
      </c>
      <c r="J9" s="25" t="n">
        <f aca="false">MIN(J8*(1-Aannames!$B$18)+IF(A9&gt;=Aannames!$B$14,Aannames!$B$15*Aannames!$B$16,0),(Aannames!$B$19+IF(A9&gt;=Aannames!$B$24,Aannames!$B$25,0))*Aannames!$B$20)</f>
        <v>0</v>
      </c>
      <c r="K9" s="24" t="n">
        <f aca="false">J9*Aannames!$B$17</f>
        <v>0</v>
      </c>
      <c r="L9" s="24" t="n">
        <f aca="false">IF(AND(A9&gt;12,MOD(A9-1,12)=0),Aannames!$B$37,0)</f>
        <v>0</v>
      </c>
      <c r="M9" s="24" t="n">
        <f aca="false">I9+K9+L9</f>
        <v>4.80879</v>
      </c>
      <c r="N9" s="24" t="n">
        <f aca="false">Aannames!$B$28+G9*Aannames!$B$29</f>
        <v>62.52</v>
      </c>
      <c r="O9" s="24" t="n">
        <f aca="false">Aannames!$B$30*(1+IF(A9&gt;=Aannames!$B$24,1,0))</f>
        <v>80</v>
      </c>
      <c r="P9" s="24" t="n">
        <f aca="false">Aannames!$B$31</f>
        <v>70</v>
      </c>
      <c r="Q9" s="24" t="n">
        <f aca="false">IF(MOD(A9-1,12)=0,Aannames!$B$32,0)</f>
        <v>0</v>
      </c>
      <c r="R9" s="24" t="n">
        <f aca="false">Aannames!$B$33+IF(MOD(A9-1,12)=0,Aannames!$B$34,0)</f>
        <v>50</v>
      </c>
      <c r="S9" s="24" t="n">
        <f aca="false">IF(A9=1,Aannames!$B$35,0)</f>
        <v>0</v>
      </c>
      <c r="T9" s="24" t="n">
        <f aca="false">SUM(N9:S9)</f>
        <v>262.52</v>
      </c>
      <c r="U9" s="24" t="n">
        <f aca="false">M9-T9</f>
        <v>-257.71121</v>
      </c>
      <c r="V9" s="24" t="n">
        <f aca="false">V8+U9</f>
        <v>-1363.624085</v>
      </c>
    </row>
    <row r="10" customFormat="false" ht="15" hidden="false" customHeight="false" outlineLevel="0" collapsed="false">
      <c r="A10" s="7" t="n">
        <v>3</v>
      </c>
      <c r="B10" s="7" t="s">
        <v>118</v>
      </c>
      <c r="C10" s="22" t="n">
        <f aca="false">Aannames!$B$5*(1+Aannames!$B$6)^(A10-2)*(1+IF(MOD(A10-1,12)=0,Aannames!$B$7,0))</f>
        <v>140</v>
      </c>
      <c r="D10" s="22" t="n">
        <f aca="false">IF(A10&gt;=Aannames!$B$24,Aannames!$B$26*(1+Aannames!$B$6)^(A10-Aannames!$B$24),0)</f>
        <v>0</v>
      </c>
      <c r="E10" s="22" t="n">
        <f aca="false">C10+D10</f>
        <v>140</v>
      </c>
      <c r="F10" s="22" t="n">
        <f aca="false">E10*Aannames!$B$8</f>
        <v>63</v>
      </c>
      <c r="G10" s="23" t="n">
        <f aca="false">CohortBear!D$38</f>
        <v>121.14</v>
      </c>
      <c r="H10" s="22" t="n">
        <f aca="false">G10*Aannames!$B$9</f>
        <v>1.2114</v>
      </c>
      <c r="I10" s="24" t="n">
        <f aca="false">H10*Aannames!$B$10*(1-Aannames!$B$11)</f>
        <v>4.6233081</v>
      </c>
      <c r="J10" s="25" t="n">
        <f aca="false">MIN(J9*(1-Aannames!$B$18)+IF(A10&gt;=Aannames!$B$14,Aannames!$B$15*Aannames!$B$16,0),(Aannames!$B$19+IF(A10&gt;=Aannames!$B$24,Aannames!$B$25,0))*Aannames!$B$20)</f>
        <v>0</v>
      </c>
      <c r="K10" s="24" t="n">
        <f aca="false">J10*Aannames!$B$17</f>
        <v>0</v>
      </c>
      <c r="L10" s="24" t="n">
        <f aca="false">IF(AND(A10&gt;12,MOD(A10-1,12)=0),Aannames!$B$37,0)</f>
        <v>0</v>
      </c>
      <c r="M10" s="24" t="n">
        <f aca="false">I10+K10+L10</f>
        <v>4.6233081</v>
      </c>
      <c r="N10" s="24" t="n">
        <f aca="false">Aannames!$B$28+G10*Aannames!$B$29</f>
        <v>62.4228</v>
      </c>
      <c r="O10" s="24" t="n">
        <f aca="false">Aannames!$B$30*(1+IF(A10&gt;=Aannames!$B$24,1,0))</f>
        <v>80</v>
      </c>
      <c r="P10" s="24" t="n">
        <f aca="false">Aannames!$B$31</f>
        <v>70</v>
      </c>
      <c r="Q10" s="24" t="n">
        <f aca="false">IF(MOD(A10-1,12)=0,Aannames!$B$32,0)</f>
        <v>0</v>
      </c>
      <c r="R10" s="24" t="n">
        <f aca="false">Aannames!$B$33+IF(MOD(A10-1,12)=0,Aannames!$B$34,0)</f>
        <v>50</v>
      </c>
      <c r="S10" s="24" t="n">
        <f aca="false">IF(A10=1,Aannames!$B$35,0)</f>
        <v>0</v>
      </c>
      <c r="T10" s="24" t="n">
        <f aca="false">SUM(N10:S10)</f>
        <v>262.4228</v>
      </c>
      <c r="U10" s="24" t="n">
        <f aca="false">M10-T10</f>
        <v>-257.7994919</v>
      </c>
      <c r="V10" s="24" t="n">
        <f aca="false">V9+U10</f>
        <v>-1621.4235769</v>
      </c>
    </row>
    <row r="11" customFormat="false" ht="15" hidden="false" customHeight="false" outlineLevel="0" collapsed="false">
      <c r="A11" s="7" t="n">
        <v>4</v>
      </c>
      <c r="B11" s="7" t="s">
        <v>119</v>
      </c>
      <c r="C11" s="22" t="n">
        <f aca="false">Aannames!$B$5*(1+Aannames!$B$6)^(A11-2)*(1+IF(MOD(A11-1,12)=0,Aannames!$B$7,0))</f>
        <v>140</v>
      </c>
      <c r="D11" s="22" t="n">
        <f aca="false">IF(A11&gt;=Aannames!$B$24,Aannames!$B$26*(1+Aannames!$B$6)^(A11-Aannames!$B$24),0)</f>
        <v>0</v>
      </c>
      <c r="E11" s="22" t="n">
        <f aca="false">C11+D11</f>
        <v>140</v>
      </c>
      <c r="F11" s="22" t="n">
        <f aca="false">E11*Aannames!$B$8</f>
        <v>63</v>
      </c>
      <c r="G11" s="23" t="n">
        <f aca="false">CohortBear!E$38</f>
        <v>121.23</v>
      </c>
      <c r="H11" s="22" t="n">
        <f aca="false">G11*Aannames!$B$9</f>
        <v>1.2123</v>
      </c>
      <c r="I11" s="24" t="n">
        <f aca="false">H11*Aannames!$B$10*(1-Aannames!$B$11)</f>
        <v>4.62674295</v>
      </c>
      <c r="J11" s="25" t="n">
        <f aca="false">MIN(J10*(1-Aannames!$B$18)+IF(A11&gt;=Aannames!$B$14,Aannames!$B$15*Aannames!$B$16,0),(Aannames!$B$19+IF(A11&gt;=Aannames!$B$24,Aannames!$B$25,0))*Aannames!$B$20)</f>
        <v>0</v>
      </c>
      <c r="K11" s="24" t="n">
        <f aca="false">J11*Aannames!$B$17</f>
        <v>0</v>
      </c>
      <c r="L11" s="24" t="n">
        <f aca="false">IF(AND(A11&gt;12,MOD(A11-1,12)=0),Aannames!$B$37,0)</f>
        <v>0</v>
      </c>
      <c r="M11" s="24" t="n">
        <f aca="false">I11+K11+L11</f>
        <v>4.62674295</v>
      </c>
      <c r="N11" s="24" t="n">
        <f aca="false">Aannames!$B$28+G11*Aannames!$B$29</f>
        <v>62.4246</v>
      </c>
      <c r="O11" s="24" t="n">
        <f aca="false">Aannames!$B$30*(1+IF(A11&gt;=Aannames!$B$24,1,0))</f>
        <v>80</v>
      </c>
      <c r="P11" s="24" t="n">
        <f aca="false">Aannames!$B$31</f>
        <v>70</v>
      </c>
      <c r="Q11" s="24" t="n">
        <f aca="false">IF(MOD(A11-1,12)=0,Aannames!$B$32,0)</f>
        <v>0</v>
      </c>
      <c r="R11" s="24" t="n">
        <f aca="false">Aannames!$B$33+IF(MOD(A11-1,12)=0,Aannames!$B$34,0)</f>
        <v>50</v>
      </c>
      <c r="S11" s="24" t="n">
        <f aca="false">IF(A11=1,Aannames!$B$35,0)</f>
        <v>0</v>
      </c>
      <c r="T11" s="24" t="n">
        <f aca="false">SUM(N11:S11)</f>
        <v>262.4246</v>
      </c>
      <c r="U11" s="24" t="n">
        <f aca="false">M11-T11</f>
        <v>-257.79785705</v>
      </c>
      <c r="V11" s="24" t="n">
        <f aca="false">V10+U11</f>
        <v>-1879.22143395</v>
      </c>
    </row>
    <row r="12" customFormat="false" ht="15" hidden="false" customHeight="false" outlineLevel="0" collapsed="false">
      <c r="A12" s="7" t="n">
        <v>5</v>
      </c>
      <c r="B12" s="7" t="s">
        <v>120</v>
      </c>
      <c r="C12" s="22" t="n">
        <f aca="false">Aannames!$B$5*(1+Aannames!$B$6)^(A12-2)*(1+IF(MOD(A12-1,12)=0,Aannames!$B$7,0))</f>
        <v>140</v>
      </c>
      <c r="D12" s="22" t="n">
        <f aca="false">IF(A12&gt;=Aannames!$B$24,Aannames!$B$26*(1+Aannames!$B$6)^(A12-Aannames!$B$24),0)</f>
        <v>0</v>
      </c>
      <c r="E12" s="22" t="n">
        <f aca="false">C12+D12</f>
        <v>140</v>
      </c>
      <c r="F12" s="22" t="n">
        <f aca="false">E12*Aannames!$B$8</f>
        <v>63</v>
      </c>
      <c r="G12" s="23" t="n">
        <f aca="false">CohortBear!F$38</f>
        <v>122.67</v>
      </c>
      <c r="H12" s="22" t="n">
        <f aca="false">G12*Aannames!$B$9</f>
        <v>1.2267</v>
      </c>
      <c r="I12" s="24" t="n">
        <f aca="false">H12*Aannames!$B$10*(1-Aannames!$B$11)</f>
        <v>4.68170055</v>
      </c>
      <c r="J12" s="25" t="n">
        <f aca="false">MIN(J11*(1-Aannames!$B$18)+IF(A12&gt;=Aannames!$B$14,Aannames!$B$15*Aannames!$B$16,0),(Aannames!$B$19+IF(A12&gt;=Aannames!$B$24,Aannames!$B$25,0))*Aannames!$B$20)</f>
        <v>0</v>
      </c>
      <c r="K12" s="24" t="n">
        <f aca="false">J12*Aannames!$B$17</f>
        <v>0</v>
      </c>
      <c r="L12" s="24" t="n">
        <f aca="false">IF(AND(A12&gt;12,MOD(A12-1,12)=0),Aannames!$B$37,0)</f>
        <v>0</v>
      </c>
      <c r="M12" s="24" t="n">
        <f aca="false">I12+K12+L12</f>
        <v>4.68170055</v>
      </c>
      <c r="N12" s="24" t="n">
        <f aca="false">Aannames!$B$28+G12*Aannames!$B$29</f>
        <v>62.4534</v>
      </c>
      <c r="O12" s="24" t="n">
        <f aca="false">Aannames!$B$30*(1+IF(A12&gt;=Aannames!$B$24,1,0))</f>
        <v>80</v>
      </c>
      <c r="P12" s="24" t="n">
        <f aca="false">Aannames!$B$31</f>
        <v>70</v>
      </c>
      <c r="Q12" s="24" t="n">
        <f aca="false">IF(MOD(A12-1,12)=0,Aannames!$B$32,0)</f>
        <v>0</v>
      </c>
      <c r="R12" s="24" t="n">
        <f aca="false">Aannames!$B$33+IF(MOD(A12-1,12)=0,Aannames!$B$34,0)</f>
        <v>50</v>
      </c>
      <c r="S12" s="24" t="n">
        <f aca="false">IF(A12=1,Aannames!$B$35,0)</f>
        <v>0</v>
      </c>
      <c r="T12" s="24" t="n">
        <f aca="false">SUM(N12:S12)</f>
        <v>262.4534</v>
      </c>
      <c r="U12" s="24" t="n">
        <f aca="false">M12-T12</f>
        <v>-257.77169945</v>
      </c>
      <c r="V12" s="24" t="n">
        <f aca="false">V11+U12</f>
        <v>-2136.9931334</v>
      </c>
    </row>
    <row r="13" customFormat="false" ht="15" hidden="false" customHeight="false" outlineLevel="0" collapsed="false">
      <c r="A13" s="7" t="n">
        <v>6</v>
      </c>
      <c r="B13" s="7" t="s">
        <v>121</v>
      </c>
      <c r="C13" s="22" t="n">
        <f aca="false">Aannames!$B$5*(1+Aannames!$B$6)^(A13-2)*(1+IF(MOD(A13-1,12)=0,Aannames!$B$7,0))</f>
        <v>140</v>
      </c>
      <c r="D13" s="22" t="n">
        <f aca="false">IF(A13&gt;=Aannames!$B$24,Aannames!$B$26*(1+Aannames!$B$6)^(A13-Aannames!$B$24),0)</f>
        <v>0</v>
      </c>
      <c r="E13" s="22" t="n">
        <f aca="false">C13+D13</f>
        <v>140</v>
      </c>
      <c r="F13" s="22" t="n">
        <f aca="false">E13*Aannames!$B$8</f>
        <v>63</v>
      </c>
      <c r="G13" s="23" t="n">
        <f aca="false">CohortBear!G$38</f>
        <v>125.595</v>
      </c>
      <c r="H13" s="22" t="n">
        <f aca="false">G13*Aannames!$B$9</f>
        <v>1.25595</v>
      </c>
      <c r="I13" s="24" t="n">
        <f aca="false">H13*Aannames!$B$10*(1-Aannames!$B$11)</f>
        <v>4.793333175</v>
      </c>
      <c r="J13" s="25" t="n">
        <f aca="false">MIN(J12*(1-Aannames!$B$18)+IF(A13&gt;=Aannames!$B$14,Aannames!$B$15*Aannames!$B$16,0),(Aannames!$B$19+IF(A13&gt;=Aannames!$B$24,Aannames!$B$25,0))*Aannames!$B$20)</f>
        <v>0</v>
      </c>
      <c r="K13" s="24" t="n">
        <f aca="false">J13*Aannames!$B$17</f>
        <v>0</v>
      </c>
      <c r="L13" s="24" t="n">
        <f aca="false">IF(AND(A13&gt;12,MOD(A13-1,12)=0),Aannames!$B$37,0)</f>
        <v>0</v>
      </c>
      <c r="M13" s="24" t="n">
        <f aca="false">I13+K13+L13</f>
        <v>4.793333175</v>
      </c>
      <c r="N13" s="24" t="n">
        <f aca="false">Aannames!$B$28+G13*Aannames!$B$29</f>
        <v>62.5119</v>
      </c>
      <c r="O13" s="24" t="n">
        <f aca="false">Aannames!$B$30*(1+IF(A13&gt;=Aannames!$B$24,1,0))</f>
        <v>80</v>
      </c>
      <c r="P13" s="24" t="n">
        <f aca="false">Aannames!$B$31</f>
        <v>70</v>
      </c>
      <c r="Q13" s="24" t="n">
        <f aca="false">IF(MOD(A13-1,12)=0,Aannames!$B$32,0)</f>
        <v>0</v>
      </c>
      <c r="R13" s="24" t="n">
        <f aca="false">Aannames!$B$33+IF(MOD(A13-1,12)=0,Aannames!$B$34,0)</f>
        <v>50</v>
      </c>
      <c r="S13" s="24" t="n">
        <f aca="false">IF(A13=1,Aannames!$B$35,0)</f>
        <v>0</v>
      </c>
      <c r="T13" s="24" t="n">
        <f aca="false">SUM(N13:S13)</f>
        <v>262.5119</v>
      </c>
      <c r="U13" s="24" t="n">
        <f aca="false">M13-T13</f>
        <v>-257.718566825</v>
      </c>
      <c r="V13" s="24" t="n">
        <f aca="false">V12+U13</f>
        <v>-2394.711700225</v>
      </c>
    </row>
    <row r="14" customFormat="false" ht="15" hidden="false" customHeight="false" outlineLevel="0" collapsed="false">
      <c r="A14" s="7" t="n">
        <v>7</v>
      </c>
      <c r="B14" s="7" t="s">
        <v>122</v>
      </c>
      <c r="C14" s="22" t="n">
        <f aca="false">Aannames!$B$5*(1+Aannames!$B$6)^(A14-2)*(1+IF(MOD(A14-1,12)=0,Aannames!$B$7,0))</f>
        <v>140</v>
      </c>
      <c r="D14" s="22" t="n">
        <f aca="false">IF(A14&gt;=Aannames!$B$24,Aannames!$B$26*(1+Aannames!$B$6)^(A14-Aannames!$B$24),0)</f>
        <v>0</v>
      </c>
      <c r="E14" s="22" t="n">
        <f aca="false">C14+D14</f>
        <v>140</v>
      </c>
      <c r="F14" s="22" t="n">
        <f aca="false">E14*Aannames!$B$8</f>
        <v>63</v>
      </c>
      <c r="G14" s="23" t="n">
        <f aca="false">CohortBear!H$38</f>
        <v>128.7</v>
      </c>
      <c r="H14" s="22" t="n">
        <f aca="false">G14*Aannames!$B$9</f>
        <v>1.287</v>
      </c>
      <c r="I14" s="24" t="n">
        <f aca="false">H14*Aannames!$B$10*(1-Aannames!$B$11)</f>
        <v>4.9118355</v>
      </c>
      <c r="J14" s="25" t="n">
        <f aca="false">MIN(J13*(1-Aannames!$B$18)+IF(A14&gt;=Aannames!$B$14,Aannames!$B$15*Aannames!$B$16,0),(Aannames!$B$19+IF(A14&gt;=Aannames!$B$24,Aannames!$B$25,0))*Aannames!$B$20)</f>
        <v>0</v>
      </c>
      <c r="K14" s="24" t="n">
        <f aca="false">J14*Aannames!$B$17</f>
        <v>0</v>
      </c>
      <c r="L14" s="24" t="n">
        <f aca="false">IF(AND(A14&gt;12,MOD(A14-1,12)=0),Aannames!$B$37,0)</f>
        <v>0</v>
      </c>
      <c r="M14" s="24" t="n">
        <f aca="false">I14+K14+L14</f>
        <v>4.9118355</v>
      </c>
      <c r="N14" s="24" t="n">
        <f aca="false">Aannames!$B$28+G14*Aannames!$B$29</f>
        <v>62.574</v>
      </c>
      <c r="O14" s="24" t="n">
        <f aca="false">Aannames!$B$30*(1+IF(A14&gt;=Aannames!$B$24,1,0))</f>
        <v>80</v>
      </c>
      <c r="P14" s="24" t="n">
        <f aca="false">Aannames!$B$31</f>
        <v>70</v>
      </c>
      <c r="Q14" s="24" t="n">
        <f aca="false">IF(MOD(A14-1,12)=0,Aannames!$B$32,0)</f>
        <v>0</v>
      </c>
      <c r="R14" s="24" t="n">
        <f aca="false">Aannames!$B$33+IF(MOD(A14-1,12)=0,Aannames!$B$34,0)</f>
        <v>50</v>
      </c>
      <c r="S14" s="24" t="n">
        <f aca="false">IF(A14=1,Aannames!$B$35,0)</f>
        <v>0</v>
      </c>
      <c r="T14" s="24" t="n">
        <f aca="false">SUM(N14:S14)</f>
        <v>262.574</v>
      </c>
      <c r="U14" s="24" t="n">
        <f aca="false">M14-T14</f>
        <v>-257.6621645</v>
      </c>
      <c r="V14" s="24" t="n">
        <f aca="false">V13+U14</f>
        <v>-2652.373864725</v>
      </c>
    </row>
    <row r="15" customFormat="false" ht="15" hidden="false" customHeight="false" outlineLevel="0" collapsed="false">
      <c r="A15" s="7" t="n">
        <v>8</v>
      </c>
      <c r="B15" s="7" t="s">
        <v>123</v>
      </c>
      <c r="C15" s="22" t="n">
        <f aca="false">Aannames!$B$5*(1+Aannames!$B$6)^(A15-2)*(1+IF(MOD(A15-1,12)=0,Aannames!$B$7,0))</f>
        <v>140</v>
      </c>
      <c r="D15" s="22" t="n">
        <f aca="false">IF(A15&gt;=Aannames!$B$24,Aannames!$B$26*(1+Aannames!$B$6)^(A15-Aannames!$B$24),0)</f>
        <v>0</v>
      </c>
      <c r="E15" s="22" t="n">
        <f aca="false">C15+D15</f>
        <v>140</v>
      </c>
      <c r="F15" s="22" t="n">
        <f aca="false">E15*Aannames!$B$8</f>
        <v>63</v>
      </c>
      <c r="G15" s="23" t="n">
        <f aca="false">CohortBear!I$38</f>
        <v>131.85</v>
      </c>
      <c r="H15" s="22" t="n">
        <f aca="false">G15*Aannames!$B$9</f>
        <v>1.3185</v>
      </c>
      <c r="I15" s="24" t="n">
        <f aca="false">H15*Aannames!$B$10*(1-Aannames!$B$11)</f>
        <v>5.03205525</v>
      </c>
      <c r="J15" s="25" t="n">
        <f aca="false">MIN(J14*(1-Aannames!$B$18)+IF(A15&gt;=Aannames!$B$14,Aannames!$B$15*Aannames!$B$16,0),(Aannames!$B$19+IF(A15&gt;=Aannames!$B$24,Aannames!$B$25,0))*Aannames!$B$20)</f>
        <v>0</v>
      </c>
      <c r="K15" s="24" t="n">
        <f aca="false">J15*Aannames!$B$17</f>
        <v>0</v>
      </c>
      <c r="L15" s="24" t="n">
        <f aca="false">IF(AND(A15&gt;12,MOD(A15-1,12)=0),Aannames!$B$37,0)</f>
        <v>0</v>
      </c>
      <c r="M15" s="24" t="n">
        <f aca="false">I15+K15+L15</f>
        <v>5.03205525</v>
      </c>
      <c r="N15" s="24" t="n">
        <f aca="false">Aannames!$B$28+G15*Aannames!$B$29</f>
        <v>62.637</v>
      </c>
      <c r="O15" s="24" t="n">
        <f aca="false">Aannames!$B$30*(1+IF(A15&gt;=Aannames!$B$24,1,0))</f>
        <v>80</v>
      </c>
      <c r="P15" s="24" t="n">
        <f aca="false">Aannames!$B$31</f>
        <v>70</v>
      </c>
      <c r="Q15" s="24" t="n">
        <f aca="false">IF(MOD(A15-1,12)=0,Aannames!$B$32,0)</f>
        <v>0</v>
      </c>
      <c r="R15" s="24" t="n">
        <f aca="false">Aannames!$B$33+IF(MOD(A15-1,12)=0,Aannames!$B$34,0)</f>
        <v>50</v>
      </c>
      <c r="S15" s="24" t="n">
        <f aca="false">IF(A15=1,Aannames!$B$35,0)</f>
        <v>0</v>
      </c>
      <c r="T15" s="24" t="n">
        <f aca="false">SUM(N15:S15)</f>
        <v>262.637</v>
      </c>
      <c r="U15" s="24" t="n">
        <f aca="false">M15-T15</f>
        <v>-257.60494475</v>
      </c>
      <c r="V15" s="24" t="n">
        <f aca="false">V14+U15</f>
        <v>-2909.978809475</v>
      </c>
    </row>
    <row r="16" customFormat="false" ht="15" hidden="false" customHeight="false" outlineLevel="0" collapsed="false">
      <c r="A16" s="7" t="n">
        <v>9</v>
      </c>
      <c r="B16" s="7" t="s">
        <v>124</v>
      </c>
      <c r="C16" s="22" t="n">
        <f aca="false">Aannames!$B$5*(1+Aannames!$B$6)^(A16-2)*(1+IF(MOD(A16-1,12)=0,Aannames!$B$7,0))</f>
        <v>140</v>
      </c>
      <c r="D16" s="22" t="n">
        <f aca="false">IF(A16&gt;=Aannames!$B$24,Aannames!$B$26*(1+Aannames!$B$6)^(A16-Aannames!$B$24),0)</f>
        <v>0</v>
      </c>
      <c r="E16" s="22" t="n">
        <f aca="false">C16+D16</f>
        <v>140</v>
      </c>
      <c r="F16" s="22" t="n">
        <f aca="false">E16*Aannames!$B$8</f>
        <v>63</v>
      </c>
      <c r="G16" s="23" t="n">
        <f aca="false">CohortBear!J$38</f>
        <v>134.784</v>
      </c>
      <c r="H16" s="22" t="n">
        <f aca="false">G16*Aannames!$B$9</f>
        <v>1.34784</v>
      </c>
      <c r="I16" s="24" t="n">
        <f aca="false">H16*Aannames!$B$10*(1-Aannames!$B$11)</f>
        <v>5.14403136</v>
      </c>
      <c r="J16" s="25" t="n">
        <f aca="false">MIN(J15*(1-Aannames!$B$18)+IF(A16&gt;=Aannames!$B$14,Aannames!$B$15*Aannames!$B$16,0),(Aannames!$B$19+IF(A16&gt;=Aannames!$B$24,Aannames!$B$25,0))*Aannames!$B$20)</f>
        <v>0.72</v>
      </c>
      <c r="K16" s="24" t="n">
        <f aca="false">J16*Aannames!$B$17</f>
        <v>28.08</v>
      </c>
      <c r="L16" s="24" t="n">
        <f aca="false">IF(AND(A16&gt;12,MOD(A16-1,12)=0),Aannames!$B$37,0)</f>
        <v>0</v>
      </c>
      <c r="M16" s="24" t="n">
        <f aca="false">I16+K16+L16</f>
        <v>33.22403136</v>
      </c>
      <c r="N16" s="24" t="n">
        <f aca="false">Aannames!$B$28+G16*Aannames!$B$29</f>
        <v>62.69568</v>
      </c>
      <c r="O16" s="24" t="n">
        <f aca="false">Aannames!$B$30*(1+IF(A16&gt;=Aannames!$B$24,1,0))</f>
        <v>80</v>
      </c>
      <c r="P16" s="24" t="n">
        <f aca="false">Aannames!$B$31</f>
        <v>70</v>
      </c>
      <c r="Q16" s="24" t="n">
        <f aca="false">IF(MOD(A16-1,12)=0,Aannames!$B$32,0)</f>
        <v>0</v>
      </c>
      <c r="R16" s="24" t="n">
        <f aca="false">Aannames!$B$33+IF(MOD(A16-1,12)=0,Aannames!$B$34,0)</f>
        <v>50</v>
      </c>
      <c r="S16" s="24" t="n">
        <f aca="false">IF(A16=1,Aannames!$B$35,0)</f>
        <v>0</v>
      </c>
      <c r="T16" s="24" t="n">
        <f aca="false">SUM(N16:S16)</f>
        <v>262.69568</v>
      </c>
      <c r="U16" s="24" t="n">
        <f aca="false">M16-T16</f>
        <v>-229.47164864</v>
      </c>
      <c r="V16" s="24" t="n">
        <f aca="false">V15+U16</f>
        <v>-3139.450458115</v>
      </c>
    </row>
    <row r="17" customFormat="false" ht="15" hidden="false" customHeight="false" outlineLevel="0" collapsed="false">
      <c r="A17" s="7" t="n">
        <v>10</v>
      </c>
      <c r="B17" s="7" t="s">
        <v>125</v>
      </c>
      <c r="C17" s="22" t="n">
        <f aca="false">Aannames!$B$5*(1+Aannames!$B$6)^(A17-2)*(1+IF(MOD(A17-1,12)=0,Aannames!$B$7,0))</f>
        <v>140</v>
      </c>
      <c r="D17" s="22" t="n">
        <f aca="false">IF(A17&gt;=Aannames!$B$24,Aannames!$B$26*(1+Aannames!$B$6)^(A17-Aannames!$B$24),0)</f>
        <v>0</v>
      </c>
      <c r="E17" s="22" t="n">
        <f aca="false">C17+D17</f>
        <v>140</v>
      </c>
      <c r="F17" s="22" t="n">
        <f aca="false">E17*Aannames!$B$8</f>
        <v>63</v>
      </c>
      <c r="G17" s="23" t="n">
        <f aca="false">CohortBear!K$38</f>
        <v>137.79</v>
      </c>
      <c r="H17" s="22" t="n">
        <f aca="false">G17*Aannames!$B$9</f>
        <v>1.3779</v>
      </c>
      <c r="I17" s="24" t="n">
        <f aca="false">H17*Aannames!$B$10*(1-Aannames!$B$11)</f>
        <v>5.25875535</v>
      </c>
      <c r="J17" s="25" t="n">
        <f aca="false">MIN(J16*(1-Aannames!$B$18)+IF(A17&gt;=Aannames!$B$14,Aannames!$B$15*Aannames!$B$16,0),(Aannames!$B$19+IF(A17&gt;=Aannames!$B$24,Aannames!$B$25,0))*Aannames!$B$20)</f>
        <v>1.404</v>
      </c>
      <c r="K17" s="24" t="n">
        <f aca="false">J17*Aannames!$B$17</f>
        <v>54.756</v>
      </c>
      <c r="L17" s="24" t="n">
        <f aca="false">IF(AND(A17&gt;12,MOD(A17-1,12)=0),Aannames!$B$37,0)</f>
        <v>0</v>
      </c>
      <c r="M17" s="24" t="n">
        <f aca="false">I17+K17+L17</f>
        <v>60.01475535</v>
      </c>
      <c r="N17" s="24" t="n">
        <f aca="false">Aannames!$B$28+G17*Aannames!$B$29</f>
        <v>62.7558</v>
      </c>
      <c r="O17" s="24" t="n">
        <f aca="false">Aannames!$B$30*(1+IF(A17&gt;=Aannames!$B$24,1,0))</f>
        <v>80</v>
      </c>
      <c r="P17" s="24" t="n">
        <f aca="false">Aannames!$B$31</f>
        <v>70</v>
      </c>
      <c r="Q17" s="24" t="n">
        <f aca="false">IF(MOD(A17-1,12)=0,Aannames!$B$32,0)</f>
        <v>0</v>
      </c>
      <c r="R17" s="24" t="n">
        <f aca="false">Aannames!$B$33+IF(MOD(A17-1,12)=0,Aannames!$B$34,0)</f>
        <v>50</v>
      </c>
      <c r="S17" s="24" t="n">
        <f aca="false">IF(A17=1,Aannames!$B$35,0)</f>
        <v>0</v>
      </c>
      <c r="T17" s="24" t="n">
        <f aca="false">SUM(N17:S17)</f>
        <v>262.7558</v>
      </c>
      <c r="U17" s="24" t="n">
        <f aca="false">M17-T17</f>
        <v>-202.74104465</v>
      </c>
      <c r="V17" s="24" t="n">
        <f aca="false">V16+U17</f>
        <v>-3342.191502765</v>
      </c>
    </row>
    <row r="18" customFormat="false" ht="15" hidden="false" customHeight="false" outlineLevel="0" collapsed="false">
      <c r="A18" s="7" t="n">
        <v>11</v>
      </c>
      <c r="B18" s="7" t="s">
        <v>126</v>
      </c>
      <c r="C18" s="22" t="n">
        <f aca="false">Aannames!$B$5*(1+Aannames!$B$6)^(A18-2)*(1+IF(MOD(A18-1,12)=0,Aannames!$B$7,0))</f>
        <v>140</v>
      </c>
      <c r="D18" s="22" t="n">
        <f aca="false">IF(A18&gt;=Aannames!$B$24,Aannames!$B$26*(1+Aannames!$B$6)^(A18-Aannames!$B$24),0)</f>
        <v>0</v>
      </c>
      <c r="E18" s="22" t="n">
        <f aca="false">C18+D18</f>
        <v>140</v>
      </c>
      <c r="F18" s="22" t="n">
        <f aca="false">E18*Aannames!$B$8</f>
        <v>63</v>
      </c>
      <c r="G18" s="23" t="n">
        <f aca="false">CohortBear!L$38</f>
        <v>140.544</v>
      </c>
      <c r="H18" s="22" t="n">
        <f aca="false">G18*Aannames!$B$9</f>
        <v>1.40544</v>
      </c>
      <c r="I18" s="24" t="n">
        <f aca="false">H18*Aannames!$B$10*(1-Aannames!$B$11)</f>
        <v>5.36386176</v>
      </c>
      <c r="J18" s="25" t="n">
        <f aca="false">MIN(J17*(1-Aannames!$B$18)+IF(A18&gt;=Aannames!$B$14,Aannames!$B$15*Aannames!$B$16,0),(Aannames!$B$19+IF(A18&gt;=Aannames!$B$24,Aannames!$B$25,0))*Aannames!$B$20)</f>
        <v>2.0538</v>
      </c>
      <c r="K18" s="24" t="n">
        <f aca="false">J18*Aannames!$B$17</f>
        <v>80.0982</v>
      </c>
      <c r="L18" s="24" t="n">
        <f aca="false">IF(AND(A18&gt;12,MOD(A18-1,12)=0),Aannames!$B$37,0)</f>
        <v>0</v>
      </c>
      <c r="M18" s="24" t="n">
        <f aca="false">I18+K18+L18</f>
        <v>85.46206176</v>
      </c>
      <c r="N18" s="24" t="n">
        <f aca="false">Aannames!$B$28+G18*Aannames!$B$29</f>
        <v>62.81088</v>
      </c>
      <c r="O18" s="24" t="n">
        <f aca="false">Aannames!$B$30*(1+IF(A18&gt;=Aannames!$B$24,1,0))</f>
        <v>80</v>
      </c>
      <c r="P18" s="24" t="n">
        <f aca="false">Aannames!$B$31</f>
        <v>70</v>
      </c>
      <c r="Q18" s="24" t="n">
        <f aca="false">IF(MOD(A18-1,12)=0,Aannames!$B$32,0)</f>
        <v>0</v>
      </c>
      <c r="R18" s="24" t="n">
        <f aca="false">Aannames!$B$33+IF(MOD(A18-1,12)=0,Aannames!$B$34,0)</f>
        <v>50</v>
      </c>
      <c r="S18" s="24" t="n">
        <f aca="false">IF(A18=1,Aannames!$B$35,0)</f>
        <v>0</v>
      </c>
      <c r="T18" s="24" t="n">
        <f aca="false">SUM(N18:S18)</f>
        <v>262.81088</v>
      </c>
      <c r="U18" s="24" t="n">
        <f aca="false">M18-T18</f>
        <v>-177.34881824</v>
      </c>
      <c r="V18" s="24" t="n">
        <f aca="false">V17+U18</f>
        <v>-3519.540321005</v>
      </c>
    </row>
    <row r="19" customFormat="false" ht="15" hidden="false" customHeight="false" outlineLevel="0" collapsed="false">
      <c r="A19" s="7" t="n">
        <v>12</v>
      </c>
      <c r="B19" s="7" t="s">
        <v>127</v>
      </c>
      <c r="C19" s="22" t="n">
        <f aca="false">Aannames!$B$5*(1+Aannames!$B$6)^(A19-2)*(1+IF(MOD(A19-1,12)=0,Aannames!$B$7,0))</f>
        <v>140</v>
      </c>
      <c r="D19" s="22" t="n">
        <f aca="false">IF(A19&gt;=Aannames!$B$24,Aannames!$B$26*(1+Aannames!$B$6)^(A19-Aannames!$B$24),0)</f>
        <v>0</v>
      </c>
      <c r="E19" s="22" t="n">
        <f aca="false">C19+D19</f>
        <v>140</v>
      </c>
      <c r="F19" s="22" t="n">
        <f aca="false">E19*Aannames!$B$8</f>
        <v>63</v>
      </c>
      <c r="G19" s="23" t="n">
        <f aca="false">CohortBear!M$38</f>
        <v>143.271</v>
      </c>
      <c r="H19" s="22" t="n">
        <f aca="false">G19*Aannames!$B$9</f>
        <v>1.43271</v>
      </c>
      <c r="I19" s="24" t="n">
        <f aca="false">H19*Aannames!$B$10*(1-Aannames!$B$11)</f>
        <v>5.467937715</v>
      </c>
      <c r="J19" s="25" t="n">
        <f aca="false">MIN(J18*(1-Aannames!$B$18)+IF(A19&gt;=Aannames!$B$14,Aannames!$B$15*Aannames!$B$16,0),(Aannames!$B$19+IF(A19&gt;=Aannames!$B$24,Aannames!$B$25,0))*Aannames!$B$20)</f>
        <v>2.67111</v>
      </c>
      <c r="K19" s="24" t="n">
        <f aca="false">J19*Aannames!$B$17</f>
        <v>104.17329</v>
      </c>
      <c r="L19" s="24" t="n">
        <f aca="false">IF(AND(A19&gt;12,MOD(A19-1,12)=0),Aannames!$B$37,0)</f>
        <v>0</v>
      </c>
      <c r="M19" s="24" t="n">
        <f aca="false">I19+K19+L19</f>
        <v>109.641227715</v>
      </c>
      <c r="N19" s="24" t="n">
        <f aca="false">Aannames!$B$28+G19*Aannames!$B$29</f>
        <v>62.86542</v>
      </c>
      <c r="O19" s="24" t="n">
        <f aca="false">Aannames!$B$30*(1+IF(A19&gt;=Aannames!$B$24,1,0))</f>
        <v>80</v>
      </c>
      <c r="P19" s="24" t="n">
        <f aca="false">Aannames!$B$31</f>
        <v>70</v>
      </c>
      <c r="Q19" s="24" t="n">
        <f aca="false">IF(MOD(A19-1,12)=0,Aannames!$B$32,0)</f>
        <v>0</v>
      </c>
      <c r="R19" s="24" t="n">
        <f aca="false">Aannames!$B$33+IF(MOD(A19-1,12)=0,Aannames!$B$34,0)</f>
        <v>50</v>
      </c>
      <c r="S19" s="24" t="n">
        <f aca="false">IF(A19=1,Aannames!$B$35,0)</f>
        <v>0</v>
      </c>
      <c r="T19" s="24" t="n">
        <f aca="false">SUM(N19:S19)</f>
        <v>262.86542</v>
      </c>
      <c r="U19" s="24" t="n">
        <f aca="false">M19-T19</f>
        <v>-153.224192285</v>
      </c>
      <c r="V19" s="24" t="n">
        <f aca="false">V18+U19</f>
        <v>-3672.76451329</v>
      </c>
    </row>
    <row r="20" customFormat="false" ht="15" hidden="false" customHeight="false" outlineLevel="0" collapsed="false">
      <c r="A20" s="7" t="n">
        <v>13</v>
      </c>
      <c r="B20" s="7" t="s">
        <v>128</v>
      </c>
      <c r="C20" s="22" t="n">
        <f aca="false">Aannames!$B$5*(1+Aannames!$B$6)^(A20-2)*(1+IF(MOD(A20-1,12)=0,Aannames!$B$7,0))</f>
        <v>252</v>
      </c>
      <c r="D20" s="22" t="n">
        <f aca="false">IF(A20&gt;=Aannames!$B$24,Aannames!$B$26*(1+Aannames!$B$6)^(A20-Aannames!$B$24),0)</f>
        <v>0</v>
      </c>
      <c r="E20" s="22" t="n">
        <f aca="false">C20+D20</f>
        <v>252</v>
      </c>
      <c r="F20" s="22" t="n">
        <f aca="false">E20*Aannames!$B$8</f>
        <v>113.4</v>
      </c>
      <c r="G20" s="23" t="n">
        <f aca="false">CohortBear!N$38</f>
        <v>196.209</v>
      </c>
      <c r="H20" s="22" t="n">
        <f aca="false">G20*Aannames!$B$9</f>
        <v>1.96209</v>
      </c>
      <c r="I20" s="24" t="n">
        <f aca="false">H20*Aannames!$B$10*(1-Aannames!$B$11)</f>
        <v>7.488316485</v>
      </c>
      <c r="J20" s="25" t="n">
        <f aca="false">MIN(J19*(1-Aannames!$B$18)+IF(A20&gt;=Aannames!$B$14,Aannames!$B$15*Aannames!$B$16,0),(Aannames!$B$19+IF(A20&gt;=Aannames!$B$24,Aannames!$B$25,0))*Aannames!$B$20)</f>
        <v>3.2575545</v>
      </c>
      <c r="K20" s="24" t="n">
        <f aca="false">J20*Aannames!$B$17</f>
        <v>127.0446255</v>
      </c>
      <c r="L20" s="24" t="n">
        <f aca="false">IF(AND(A20&gt;12,MOD(A20-1,12)=0),Aannames!$B$37,0)</f>
        <v>0</v>
      </c>
      <c r="M20" s="24" t="n">
        <f aca="false">I20+K20+L20</f>
        <v>134.532941985</v>
      </c>
      <c r="N20" s="24" t="n">
        <f aca="false">Aannames!$B$28+G20*Aannames!$B$29</f>
        <v>63.92418</v>
      </c>
      <c r="O20" s="24" t="n">
        <f aca="false">Aannames!$B$30*(1+IF(A20&gt;=Aannames!$B$24,1,0))</f>
        <v>80</v>
      </c>
      <c r="P20" s="24" t="n">
        <f aca="false">Aannames!$B$31</f>
        <v>70</v>
      </c>
      <c r="Q20" s="24" t="n">
        <f aca="false">IF(MOD(A20-1,12)=0,Aannames!$B$32,0)</f>
        <v>150</v>
      </c>
      <c r="R20" s="24" t="n">
        <f aca="false">Aannames!$B$33+IF(MOD(A20-1,12)=0,Aannames!$B$34,0)</f>
        <v>350</v>
      </c>
      <c r="S20" s="24" t="n">
        <f aca="false">IF(A20=1,Aannames!$B$35,0)</f>
        <v>0</v>
      </c>
      <c r="T20" s="24" t="n">
        <f aca="false">SUM(N20:S20)</f>
        <v>713.92418</v>
      </c>
      <c r="U20" s="24" t="n">
        <f aca="false">M20-T20</f>
        <v>-579.391238015</v>
      </c>
      <c r="V20" s="24" t="n">
        <f aca="false">V19+U20</f>
        <v>-4252.155751305</v>
      </c>
    </row>
    <row r="21" customFormat="false" ht="15" hidden="false" customHeight="false" outlineLevel="0" collapsed="false">
      <c r="A21" s="7" t="n">
        <v>14</v>
      </c>
      <c r="B21" s="7" t="s">
        <v>129</v>
      </c>
      <c r="C21" s="22" t="n">
        <f aca="false">Aannames!$B$5*(1+Aannames!$B$6)^(A21-2)*(1+IF(MOD(A21-1,12)=0,Aannames!$B$7,0))</f>
        <v>140</v>
      </c>
      <c r="D21" s="22" t="n">
        <f aca="false">IF(A21&gt;=Aannames!$B$24,Aannames!$B$26*(1+Aannames!$B$6)^(A21-Aannames!$B$24),0)</f>
        <v>0</v>
      </c>
      <c r="E21" s="22" t="n">
        <f aca="false">C21+D21</f>
        <v>140</v>
      </c>
      <c r="F21" s="22" t="n">
        <f aca="false">E21*Aannames!$B$8</f>
        <v>63</v>
      </c>
      <c r="G21" s="23" t="n">
        <f aca="false">CohortBear!O$38</f>
        <v>162.495</v>
      </c>
      <c r="H21" s="22" t="n">
        <f aca="false">G21*Aannames!$B$9</f>
        <v>1.62495</v>
      </c>
      <c r="I21" s="24" t="n">
        <f aca="false">H21*Aannames!$B$10*(1-Aannames!$B$11)</f>
        <v>6.201621675</v>
      </c>
      <c r="J21" s="25" t="n">
        <f aca="false">MIN(J20*(1-Aannames!$B$18)+IF(A21&gt;=Aannames!$B$14,Aannames!$B$15*Aannames!$B$16,0),(Aannames!$B$19+IF(A21&gt;=Aannames!$B$24,Aannames!$B$25,0))*Aannames!$B$20)</f>
        <v>3.814676775</v>
      </c>
      <c r="K21" s="24" t="n">
        <f aca="false">J21*Aannames!$B$17</f>
        <v>148.772394225</v>
      </c>
      <c r="L21" s="24" t="n">
        <f aca="false">IF(AND(A21&gt;12,MOD(A21-1,12)=0),Aannames!$B$37,0)</f>
        <v>0</v>
      </c>
      <c r="M21" s="24" t="n">
        <f aca="false">I21+K21+L21</f>
        <v>154.9740159</v>
      </c>
      <c r="N21" s="24" t="n">
        <f aca="false">Aannames!$B$28+G21*Aannames!$B$29</f>
        <v>63.2499</v>
      </c>
      <c r="O21" s="24" t="n">
        <f aca="false">Aannames!$B$30*(1+IF(A21&gt;=Aannames!$B$24,1,0))</f>
        <v>80</v>
      </c>
      <c r="P21" s="24" t="n">
        <f aca="false">Aannames!$B$31</f>
        <v>70</v>
      </c>
      <c r="Q21" s="24" t="n">
        <f aca="false">IF(MOD(A21-1,12)=0,Aannames!$B$32,0)</f>
        <v>0</v>
      </c>
      <c r="R21" s="24" t="n">
        <f aca="false">Aannames!$B$33+IF(MOD(A21-1,12)=0,Aannames!$B$34,0)</f>
        <v>50</v>
      </c>
      <c r="S21" s="24" t="n">
        <f aca="false">IF(A21=1,Aannames!$B$35,0)</f>
        <v>0</v>
      </c>
      <c r="T21" s="24" t="n">
        <f aca="false">SUM(N21:S21)</f>
        <v>263.2499</v>
      </c>
      <c r="U21" s="24" t="n">
        <f aca="false">M21-T21</f>
        <v>-108.2758841</v>
      </c>
      <c r="V21" s="24" t="n">
        <f aca="false">V20+U21</f>
        <v>-4360.431635405</v>
      </c>
    </row>
    <row r="22" customFormat="false" ht="15" hidden="false" customHeight="false" outlineLevel="0" collapsed="false">
      <c r="A22" s="7" t="n">
        <v>15</v>
      </c>
      <c r="B22" s="7" t="s">
        <v>130</v>
      </c>
      <c r="C22" s="22" t="n">
        <f aca="false">Aannames!$B$5*(1+Aannames!$B$6)^(A22-2)*(1+IF(MOD(A22-1,12)=0,Aannames!$B$7,0))</f>
        <v>140</v>
      </c>
      <c r="D22" s="22" t="n">
        <f aca="false">IF(A22&gt;=Aannames!$B$24,Aannames!$B$26*(1+Aannames!$B$6)^(A22-Aannames!$B$24),0)</f>
        <v>0</v>
      </c>
      <c r="E22" s="22" t="n">
        <f aca="false">C22+D22</f>
        <v>140</v>
      </c>
      <c r="F22" s="22" t="n">
        <f aca="false">E22*Aannames!$B$8</f>
        <v>63</v>
      </c>
      <c r="G22" s="23" t="n">
        <f aca="false">CohortBear!P$38</f>
        <v>159.903</v>
      </c>
      <c r="H22" s="22" t="n">
        <f aca="false">G22*Aannames!$B$9</f>
        <v>1.59903</v>
      </c>
      <c r="I22" s="24" t="n">
        <f aca="false">H22*Aannames!$B$10*(1-Aannames!$B$11)</f>
        <v>6.102697995</v>
      </c>
      <c r="J22" s="25" t="n">
        <f aca="false">MIN(J21*(1-Aannames!$B$18)+IF(A22&gt;=Aannames!$B$14,Aannames!$B$15*Aannames!$B$16,0),(Aannames!$B$19+IF(A22&gt;=Aannames!$B$24,Aannames!$B$25,0))*Aannames!$B$20)</f>
        <v>4.34394293625</v>
      </c>
      <c r="K22" s="24" t="n">
        <f aca="false">J22*Aannames!$B$17</f>
        <v>169.41377451375</v>
      </c>
      <c r="L22" s="24" t="n">
        <f aca="false">IF(AND(A22&gt;12,MOD(A22-1,12)=0),Aannames!$B$37,0)</f>
        <v>0</v>
      </c>
      <c r="M22" s="24" t="n">
        <f aca="false">I22+K22+L22</f>
        <v>175.51647250875</v>
      </c>
      <c r="N22" s="24" t="n">
        <f aca="false">Aannames!$B$28+G22*Aannames!$B$29</f>
        <v>63.19806</v>
      </c>
      <c r="O22" s="24" t="n">
        <f aca="false">Aannames!$B$30*(1+IF(A22&gt;=Aannames!$B$24,1,0))</f>
        <v>80</v>
      </c>
      <c r="P22" s="24" t="n">
        <f aca="false">Aannames!$B$31</f>
        <v>70</v>
      </c>
      <c r="Q22" s="24" t="n">
        <f aca="false">IF(MOD(A22-1,12)=0,Aannames!$B$32,0)</f>
        <v>0</v>
      </c>
      <c r="R22" s="24" t="n">
        <f aca="false">Aannames!$B$33+IF(MOD(A22-1,12)=0,Aannames!$B$34,0)</f>
        <v>50</v>
      </c>
      <c r="S22" s="24" t="n">
        <f aca="false">IF(A22=1,Aannames!$B$35,0)</f>
        <v>0</v>
      </c>
      <c r="T22" s="24" t="n">
        <f aca="false">SUM(N22:S22)</f>
        <v>263.19806</v>
      </c>
      <c r="U22" s="24" t="n">
        <f aca="false">M22-T22</f>
        <v>-87.68158749125</v>
      </c>
      <c r="V22" s="24" t="n">
        <f aca="false">V21+U22</f>
        <v>-4448.11322289625</v>
      </c>
    </row>
    <row r="23" customFormat="false" ht="15" hidden="false" customHeight="false" outlineLevel="0" collapsed="false">
      <c r="A23" s="7" t="n">
        <v>16</v>
      </c>
      <c r="B23" s="7" t="s">
        <v>131</v>
      </c>
      <c r="C23" s="22" t="n">
        <f aca="false">Aannames!$B$5*(1+Aannames!$B$6)^(A23-2)*(1+IF(MOD(A23-1,12)=0,Aannames!$B$7,0))</f>
        <v>140</v>
      </c>
      <c r="D23" s="22" t="n">
        <f aca="false">IF(A23&gt;=Aannames!$B$24,Aannames!$B$26*(1+Aannames!$B$6)^(A23-Aannames!$B$24),0)</f>
        <v>0</v>
      </c>
      <c r="E23" s="22" t="n">
        <f aca="false">C23+D23</f>
        <v>140</v>
      </c>
      <c r="F23" s="22" t="n">
        <f aca="false">E23*Aannames!$B$8</f>
        <v>63</v>
      </c>
      <c r="G23" s="23" t="n">
        <f aca="false">CohortBear!Q$38</f>
        <v>159.93</v>
      </c>
      <c r="H23" s="22" t="n">
        <f aca="false">G23*Aannames!$B$9</f>
        <v>1.5993</v>
      </c>
      <c r="I23" s="24" t="n">
        <f aca="false">H23*Aannames!$B$10*(1-Aannames!$B$11)</f>
        <v>6.10372845</v>
      </c>
      <c r="J23" s="25" t="n">
        <f aca="false">MIN(J22*(1-Aannames!$B$18)+IF(A23&gt;=Aannames!$B$14,Aannames!$B$15*Aannames!$B$16,0),(Aannames!$B$19+IF(A23&gt;=Aannames!$B$24,Aannames!$B$25,0))*Aannames!$B$20)</f>
        <v>4.8467457894375</v>
      </c>
      <c r="K23" s="24" t="n">
        <f aca="false">J23*Aannames!$B$17</f>
        <v>189.023085788062</v>
      </c>
      <c r="L23" s="24" t="n">
        <f aca="false">IF(AND(A23&gt;12,MOD(A23-1,12)=0),Aannames!$B$37,0)</f>
        <v>0</v>
      </c>
      <c r="M23" s="24" t="n">
        <f aca="false">I23+K23+L23</f>
        <v>195.126814238062</v>
      </c>
      <c r="N23" s="24" t="n">
        <f aca="false">Aannames!$B$28+G23*Aannames!$B$29</f>
        <v>63.1986</v>
      </c>
      <c r="O23" s="24" t="n">
        <f aca="false">Aannames!$B$30*(1+IF(A23&gt;=Aannames!$B$24,1,0))</f>
        <v>80</v>
      </c>
      <c r="P23" s="24" t="n">
        <f aca="false">Aannames!$B$31</f>
        <v>70</v>
      </c>
      <c r="Q23" s="24" t="n">
        <f aca="false">IF(MOD(A23-1,12)=0,Aannames!$B$32,0)</f>
        <v>0</v>
      </c>
      <c r="R23" s="24" t="n">
        <f aca="false">Aannames!$B$33+IF(MOD(A23-1,12)=0,Aannames!$B$34,0)</f>
        <v>50</v>
      </c>
      <c r="S23" s="24" t="n">
        <f aca="false">IF(A23=1,Aannames!$B$35,0)</f>
        <v>0</v>
      </c>
      <c r="T23" s="24" t="n">
        <f aca="false">SUM(N23:S23)</f>
        <v>263.1986</v>
      </c>
      <c r="U23" s="24" t="n">
        <f aca="false">M23-T23</f>
        <v>-68.0717857619376</v>
      </c>
      <c r="V23" s="24" t="n">
        <f aca="false">V22+U23</f>
        <v>-4516.18500865819</v>
      </c>
    </row>
    <row r="24" customFormat="false" ht="15" hidden="false" customHeight="false" outlineLevel="0" collapsed="false">
      <c r="A24" s="7" t="n">
        <v>17</v>
      </c>
      <c r="B24" s="7" t="s">
        <v>132</v>
      </c>
      <c r="C24" s="22" t="n">
        <f aca="false">Aannames!$B$5*(1+Aannames!$B$6)^(A24-2)*(1+IF(MOD(A24-1,12)=0,Aannames!$B$7,0))</f>
        <v>140</v>
      </c>
      <c r="D24" s="22" t="n">
        <f aca="false">IF(A24&gt;=Aannames!$B$24,Aannames!$B$26*(1+Aannames!$B$6)^(A24-Aannames!$B$24),0)</f>
        <v>0</v>
      </c>
      <c r="E24" s="22" t="n">
        <f aca="false">C24+D24</f>
        <v>140</v>
      </c>
      <c r="F24" s="22" t="n">
        <f aca="false">E24*Aannames!$B$8</f>
        <v>63</v>
      </c>
      <c r="G24" s="23" t="n">
        <f aca="false">CohortBear!R$38</f>
        <v>160.902</v>
      </c>
      <c r="H24" s="22" t="n">
        <f aca="false">G24*Aannames!$B$9</f>
        <v>1.60902</v>
      </c>
      <c r="I24" s="24" t="n">
        <f aca="false">H24*Aannames!$B$10*(1-Aannames!$B$11)</f>
        <v>6.14082483</v>
      </c>
      <c r="J24" s="25" t="n">
        <f aca="false">MIN(J23*(1-Aannames!$B$18)+IF(A24&gt;=Aannames!$B$14,Aannames!$B$15*Aannames!$B$16,0),(Aannames!$B$19+IF(A24&gt;=Aannames!$B$24,Aannames!$B$25,0))*Aannames!$B$20)</f>
        <v>5.32440849996562</v>
      </c>
      <c r="K24" s="24" t="n">
        <f aca="false">J24*Aannames!$B$17</f>
        <v>207.651931498659</v>
      </c>
      <c r="L24" s="24" t="n">
        <f aca="false">IF(AND(A24&gt;12,MOD(A24-1,12)=0),Aannames!$B$37,0)</f>
        <v>0</v>
      </c>
      <c r="M24" s="24" t="n">
        <f aca="false">I24+K24+L24</f>
        <v>213.792756328659</v>
      </c>
      <c r="N24" s="24" t="n">
        <f aca="false">Aannames!$B$28+G24*Aannames!$B$29</f>
        <v>63.21804</v>
      </c>
      <c r="O24" s="24" t="n">
        <f aca="false">Aannames!$B$30*(1+IF(A24&gt;=Aannames!$B$24,1,0))</f>
        <v>80</v>
      </c>
      <c r="P24" s="24" t="n">
        <f aca="false">Aannames!$B$31</f>
        <v>70</v>
      </c>
      <c r="Q24" s="24" t="n">
        <f aca="false">IF(MOD(A24-1,12)=0,Aannames!$B$32,0)</f>
        <v>0</v>
      </c>
      <c r="R24" s="24" t="n">
        <f aca="false">Aannames!$B$33+IF(MOD(A24-1,12)=0,Aannames!$B$34,0)</f>
        <v>50</v>
      </c>
      <c r="S24" s="24" t="n">
        <f aca="false">IF(A24=1,Aannames!$B$35,0)</f>
        <v>0</v>
      </c>
      <c r="T24" s="24" t="n">
        <f aca="false">SUM(N24:S24)</f>
        <v>263.21804</v>
      </c>
      <c r="U24" s="24" t="n">
        <f aca="false">M24-T24</f>
        <v>-49.4252836713407</v>
      </c>
      <c r="V24" s="24" t="n">
        <f aca="false">V23+U24</f>
        <v>-4565.61029232953</v>
      </c>
    </row>
    <row r="25" customFormat="false" ht="15" hidden="false" customHeight="false" outlineLevel="0" collapsed="false">
      <c r="A25" s="7" t="n">
        <v>18</v>
      </c>
      <c r="B25" s="7" t="s">
        <v>133</v>
      </c>
      <c r="C25" s="22" t="n">
        <f aca="false">Aannames!$B$5*(1+Aannames!$B$6)^(A25-2)*(1+IF(MOD(A25-1,12)=0,Aannames!$B$7,0))</f>
        <v>140</v>
      </c>
      <c r="D25" s="22" t="n">
        <f aca="false">IF(A25&gt;=Aannames!$B$24,Aannames!$B$26*(1+Aannames!$B$6)^(A25-Aannames!$B$24),0)</f>
        <v>0</v>
      </c>
      <c r="E25" s="22" t="n">
        <f aca="false">C25+D25</f>
        <v>140</v>
      </c>
      <c r="F25" s="22" t="n">
        <f aca="false">E25*Aannames!$B$8</f>
        <v>63</v>
      </c>
      <c r="G25" s="23" t="n">
        <f aca="false">CohortBear!S$38</f>
        <v>162.567</v>
      </c>
      <c r="H25" s="22" t="n">
        <f aca="false">G25*Aannames!$B$9</f>
        <v>1.62567</v>
      </c>
      <c r="I25" s="24" t="n">
        <f aca="false">H25*Aannames!$B$10*(1-Aannames!$B$11)</f>
        <v>6.204369555</v>
      </c>
      <c r="J25" s="25" t="n">
        <f aca="false">MIN(J24*(1-Aannames!$B$18)+IF(A25&gt;=Aannames!$B$14,Aannames!$B$15*Aannames!$B$16,0),(Aannames!$B$19+IF(A25&gt;=Aannames!$B$24,Aannames!$B$25,0))*Aannames!$B$20)</f>
        <v>5.77818807496734</v>
      </c>
      <c r="K25" s="24" t="n">
        <f aca="false">J25*Aannames!$B$17</f>
        <v>225.349334923726</v>
      </c>
      <c r="L25" s="24" t="n">
        <f aca="false">IF(AND(A25&gt;12,MOD(A25-1,12)=0),Aannames!$B$37,0)</f>
        <v>0</v>
      </c>
      <c r="M25" s="24" t="n">
        <f aca="false">I25+K25+L25</f>
        <v>231.553704478726</v>
      </c>
      <c r="N25" s="24" t="n">
        <f aca="false">Aannames!$B$28+G25*Aannames!$B$29</f>
        <v>63.25134</v>
      </c>
      <c r="O25" s="24" t="n">
        <f aca="false">Aannames!$B$30*(1+IF(A25&gt;=Aannames!$B$24,1,0))</f>
        <v>80</v>
      </c>
      <c r="P25" s="24" t="n">
        <f aca="false">Aannames!$B$31</f>
        <v>70</v>
      </c>
      <c r="Q25" s="24" t="n">
        <f aca="false">IF(MOD(A25-1,12)=0,Aannames!$B$32,0)</f>
        <v>0</v>
      </c>
      <c r="R25" s="24" t="n">
        <f aca="false">Aannames!$B$33+IF(MOD(A25-1,12)=0,Aannames!$B$34,0)</f>
        <v>50</v>
      </c>
      <c r="S25" s="24" t="n">
        <f aca="false">IF(A25=1,Aannames!$B$35,0)</f>
        <v>0</v>
      </c>
      <c r="T25" s="24" t="n">
        <f aca="false">SUM(N25:S25)</f>
        <v>263.25134</v>
      </c>
      <c r="U25" s="24" t="n">
        <f aca="false">M25-T25</f>
        <v>-31.6976355212737</v>
      </c>
      <c r="V25" s="24" t="n">
        <f aca="false">V24+U25</f>
        <v>-4597.3079278508</v>
      </c>
    </row>
    <row r="26" customFormat="false" ht="15" hidden="false" customHeight="false" outlineLevel="0" collapsed="false">
      <c r="A26" s="7" t="n">
        <v>19</v>
      </c>
      <c r="B26" s="7" t="s">
        <v>134</v>
      </c>
      <c r="C26" s="22" t="n">
        <f aca="false">Aannames!$B$5*(1+Aannames!$B$6)^(A26-2)*(1+IF(MOD(A26-1,12)=0,Aannames!$B$7,0))</f>
        <v>140</v>
      </c>
      <c r="D26" s="22" t="n">
        <f aca="false">IF(A26&gt;=Aannames!$B$24,Aannames!$B$26*(1+Aannames!$B$6)^(A26-Aannames!$B$24),0)</f>
        <v>0</v>
      </c>
      <c r="E26" s="22" t="n">
        <f aca="false">C26+D26</f>
        <v>140</v>
      </c>
      <c r="F26" s="22" t="n">
        <f aca="false">E26*Aannames!$B$8</f>
        <v>63</v>
      </c>
      <c r="G26" s="23" t="n">
        <f aca="false">CohortBear!T$38</f>
        <v>164.421</v>
      </c>
      <c r="H26" s="22" t="n">
        <f aca="false">G26*Aannames!$B$9</f>
        <v>1.64421</v>
      </c>
      <c r="I26" s="24" t="n">
        <f aca="false">H26*Aannames!$B$10*(1-Aannames!$B$11)</f>
        <v>6.275127465</v>
      </c>
      <c r="J26" s="25" t="n">
        <f aca="false">MIN(J25*(1-Aannames!$B$18)+IF(A26&gt;=Aannames!$B$14,Aannames!$B$15*Aannames!$B$16,0),(Aannames!$B$19+IF(A26&gt;=Aannames!$B$24,Aannames!$B$25,0))*Aannames!$B$20)</f>
        <v>6.20927867121897</v>
      </c>
      <c r="K26" s="24" t="n">
        <f aca="false">J26*Aannames!$B$17</f>
        <v>242.16186817754</v>
      </c>
      <c r="L26" s="24" t="n">
        <f aca="false">IF(AND(A26&gt;12,MOD(A26-1,12)=0),Aannames!$B$37,0)</f>
        <v>0</v>
      </c>
      <c r="M26" s="24" t="n">
        <f aca="false">I26+K26+L26</f>
        <v>248.43699564254</v>
      </c>
      <c r="N26" s="24" t="n">
        <f aca="false">Aannames!$B$28+G26*Aannames!$B$29</f>
        <v>63.28842</v>
      </c>
      <c r="O26" s="24" t="n">
        <f aca="false">Aannames!$B$30*(1+IF(A26&gt;=Aannames!$B$24,1,0))</f>
        <v>80</v>
      </c>
      <c r="P26" s="24" t="n">
        <f aca="false">Aannames!$B$31</f>
        <v>70</v>
      </c>
      <c r="Q26" s="24" t="n">
        <f aca="false">IF(MOD(A26-1,12)=0,Aannames!$B$32,0)</f>
        <v>0</v>
      </c>
      <c r="R26" s="24" t="n">
        <f aca="false">Aannames!$B$33+IF(MOD(A26-1,12)=0,Aannames!$B$34,0)</f>
        <v>50</v>
      </c>
      <c r="S26" s="24" t="n">
        <f aca="false">IF(A26=1,Aannames!$B$35,0)</f>
        <v>0</v>
      </c>
      <c r="T26" s="24" t="n">
        <f aca="false">SUM(N26:S26)</f>
        <v>263.28842</v>
      </c>
      <c r="U26" s="24" t="n">
        <f aca="false">M26-T26</f>
        <v>-14.85142435746</v>
      </c>
      <c r="V26" s="24" t="n">
        <f aca="false">V25+U26</f>
        <v>-4612.15935220826</v>
      </c>
    </row>
    <row r="27" customFormat="false" ht="15" hidden="false" customHeight="false" outlineLevel="0" collapsed="false">
      <c r="A27" s="7" t="n">
        <v>20</v>
      </c>
      <c r="B27" s="7" t="s">
        <v>135</v>
      </c>
      <c r="C27" s="22" t="n">
        <f aca="false">Aannames!$B$5*(1+Aannames!$B$6)^(A27-2)*(1+IF(MOD(A27-1,12)=0,Aannames!$B$7,0))</f>
        <v>140</v>
      </c>
      <c r="D27" s="22" t="n">
        <f aca="false">IF(A27&gt;=Aannames!$B$24,Aannames!$B$26*(1+Aannames!$B$6)^(A27-Aannames!$B$24),0)</f>
        <v>0</v>
      </c>
      <c r="E27" s="22" t="n">
        <f aca="false">C27+D27</f>
        <v>140</v>
      </c>
      <c r="F27" s="22" t="n">
        <f aca="false">E27*Aannames!$B$8</f>
        <v>63</v>
      </c>
      <c r="G27" s="23" t="n">
        <f aca="false">CohortBear!U$38</f>
        <v>166.3632</v>
      </c>
      <c r="H27" s="22" t="n">
        <f aca="false">G27*Aannames!$B$9</f>
        <v>1.663632</v>
      </c>
      <c r="I27" s="24" t="n">
        <f aca="false">H27*Aannames!$B$10*(1-Aannames!$B$11)</f>
        <v>6.349251528</v>
      </c>
      <c r="J27" s="25" t="n">
        <f aca="false">MIN(J26*(1-Aannames!$B$18)+IF(A27&gt;=Aannames!$B$14,Aannames!$B$15*Aannames!$B$16,0),(Aannames!$B$19+IF(A27&gt;=Aannames!$B$24,Aannames!$B$25,0))*Aannames!$B$20)</f>
        <v>6.61881473765803</v>
      </c>
      <c r="K27" s="24" t="n">
        <f aca="false">J27*Aannames!$B$17</f>
        <v>258.133774768663</v>
      </c>
      <c r="L27" s="24" t="n">
        <f aca="false">IF(AND(A27&gt;12,MOD(A27-1,12)=0),Aannames!$B$37,0)</f>
        <v>0</v>
      </c>
      <c r="M27" s="24" t="n">
        <f aca="false">I27+K27+L27</f>
        <v>264.483026296663</v>
      </c>
      <c r="N27" s="24" t="n">
        <f aca="false">Aannames!$B$28+G27*Aannames!$B$29</f>
        <v>63.327264</v>
      </c>
      <c r="O27" s="24" t="n">
        <f aca="false">Aannames!$B$30*(1+IF(A27&gt;=Aannames!$B$24,1,0))</f>
        <v>80</v>
      </c>
      <c r="P27" s="24" t="n">
        <f aca="false">Aannames!$B$31</f>
        <v>70</v>
      </c>
      <c r="Q27" s="24" t="n">
        <f aca="false">IF(MOD(A27-1,12)=0,Aannames!$B$32,0)</f>
        <v>0</v>
      </c>
      <c r="R27" s="24" t="n">
        <f aca="false">Aannames!$B$33+IF(MOD(A27-1,12)=0,Aannames!$B$34,0)</f>
        <v>50</v>
      </c>
      <c r="S27" s="24" t="n">
        <f aca="false">IF(A27=1,Aannames!$B$35,0)</f>
        <v>0</v>
      </c>
      <c r="T27" s="24" t="n">
        <f aca="false">SUM(N27:S27)</f>
        <v>263.327264</v>
      </c>
      <c r="U27" s="24" t="n">
        <f aca="false">M27-T27</f>
        <v>1.155762296663</v>
      </c>
      <c r="V27" s="24" t="n">
        <f aca="false">V26+U27</f>
        <v>-4611.0035899116</v>
      </c>
    </row>
    <row r="28" customFormat="false" ht="15" hidden="false" customHeight="false" outlineLevel="0" collapsed="false">
      <c r="A28" s="7" t="n">
        <v>21</v>
      </c>
      <c r="B28" s="7" t="s">
        <v>136</v>
      </c>
      <c r="C28" s="22" t="n">
        <f aca="false">Aannames!$B$5*(1+Aannames!$B$6)^(A28-2)*(1+IF(MOD(A28-1,12)=0,Aannames!$B$7,0))</f>
        <v>140</v>
      </c>
      <c r="D28" s="22" t="n">
        <f aca="false">IF(A28&gt;=Aannames!$B$24,Aannames!$B$26*(1+Aannames!$B$6)^(A28-Aannames!$B$24),0)</f>
        <v>0</v>
      </c>
      <c r="E28" s="22" t="n">
        <f aca="false">C28+D28</f>
        <v>140</v>
      </c>
      <c r="F28" s="22" t="n">
        <f aca="false">E28*Aannames!$B$8</f>
        <v>63</v>
      </c>
      <c r="G28" s="23" t="n">
        <f aca="false">CohortBear!V$38</f>
        <v>168.2928</v>
      </c>
      <c r="H28" s="22" t="n">
        <f aca="false">G28*Aannames!$B$9</f>
        <v>1.682928</v>
      </c>
      <c r="I28" s="24" t="n">
        <f aca="false">H28*Aannames!$B$10*(1-Aannames!$B$11)</f>
        <v>6.422894712</v>
      </c>
      <c r="J28" s="25" t="n">
        <f aca="false">MIN(J27*(1-Aannames!$B$18)+IF(A28&gt;=Aannames!$B$14,Aannames!$B$15*Aannames!$B$16,0),(Aannames!$B$19+IF(A28&gt;=Aannames!$B$24,Aannames!$B$25,0))*Aannames!$B$20)</f>
        <v>7.00787400077512</v>
      </c>
      <c r="K28" s="24" t="n">
        <f aca="false">J28*Aannames!$B$17</f>
        <v>273.30708603023</v>
      </c>
      <c r="L28" s="24" t="n">
        <f aca="false">IF(AND(A28&gt;12,MOD(A28-1,12)=0),Aannames!$B$37,0)</f>
        <v>0</v>
      </c>
      <c r="M28" s="24" t="n">
        <f aca="false">I28+K28+L28</f>
        <v>279.72998074223</v>
      </c>
      <c r="N28" s="24" t="n">
        <f aca="false">Aannames!$B$28+G28*Aannames!$B$29</f>
        <v>63.365856</v>
      </c>
      <c r="O28" s="24" t="n">
        <f aca="false">Aannames!$B$30*(1+IF(A28&gt;=Aannames!$B$24,1,0))</f>
        <v>80</v>
      </c>
      <c r="P28" s="24" t="n">
        <f aca="false">Aannames!$B$31</f>
        <v>70</v>
      </c>
      <c r="Q28" s="24" t="n">
        <f aca="false">IF(MOD(A28-1,12)=0,Aannames!$B$32,0)</f>
        <v>0</v>
      </c>
      <c r="R28" s="24" t="n">
        <f aca="false">Aannames!$B$33+IF(MOD(A28-1,12)=0,Aannames!$B$34,0)</f>
        <v>50</v>
      </c>
      <c r="S28" s="24" t="n">
        <f aca="false">IF(A28=1,Aannames!$B$35,0)</f>
        <v>0</v>
      </c>
      <c r="T28" s="24" t="n">
        <f aca="false">SUM(N28:S28)</f>
        <v>263.365856</v>
      </c>
      <c r="U28" s="24" t="n">
        <f aca="false">M28-T28</f>
        <v>16.3641247422298</v>
      </c>
      <c r="V28" s="24" t="n">
        <f aca="false">V27+U28</f>
        <v>-4594.63946516937</v>
      </c>
    </row>
    <row r="29" customFormat="false" ht="15" hidden="false" customHeight="false" outlineLevel="0" collapsed="false">
      <c r="A29" s="7" t="n">
        <v>22</v>
      </c>
      <c r="B29" s="7" t="s">
        <v>137</v>
      </c>
      <c r="C29" s="22" t="n">
        <f aca="false">Aannames!$B$5*(1+Aannames!$B$6)^(A29-2)*(1+IF(MOD(A29-1,12)=0,Aannames!$B$7,0))</f>
        <v>140</v>
      </c>
      <c r="D29" s="22" t="n">
        <f aca="false">IF(A29&gt;=Aannames!$B$24,Aannames!$B$26*(1+Aannames!$B$6)^(A29-Aannames!$B$24),0)</f>
        <v>0</v>
      </c>
      <c r="E29" s="22" t="n">
        <f aca="false">C29+D29</f>
        <v>140</v>
      </c>
      <c r="F29" s="22" t="n">
        <f aca="false">E29*Aannames!$B$8</f>
        <v>63</v>
      </c>
      <c r="G29" s="23" t="n">
        <f aca="false">CohortBear!W$38</f>
        <v>170.2602</v>
      </c>
      <c r="H29" s="22" t="n">
        <f aca="false">G29*Aannames!$B$9</f>
        <v>1.702602</v>
      </c>
      <c r="I29" s="24" t="n">
        <f aca="false">H29*Aannames!$B$10*(1-Aannames!$B$11)</f>
        <v>6.497980533</v>
      </c>
      <c r="J29" s="25" t="n">
        <f aca="false">MIN(J28*(1-Aannames!$B$18)+IF(A29&gt;=Aannames!$B$14,Aannames!$B$15*Aannames!$B$16,0),(Aannames!$B$19+IF(A29&gt;=Aannames!$B$24,Aannames!$B$25,0))*Aannames!$B$20)</f>
        <v>7.37748030073637</v>
      </c>
      <c r="K29" s="24" t="n">
        <f aca="false">J29*Aannames!$B$17</f>
        <v>287.721731728718</v>
      </c>
      <c r="L29" s="24" t="n">
        <f aca="false">IF(AND(A29&gt;12,MOD(A29-1,12)=0),Aannames!$B$37,0)</f>
        <v>0</v>
      </c>
      <c r="M29" s="24" t="n">
        <f aca="false">I29+K29+L29</f>
        <v>294.219712261718</v>
      </c>
      <c r="N29" s="24" t="n">
        <f aca="false">Aannames!$B$28+G29*Aannames!$B$29</f>
        <v>63.405204</v>
      </c>
      <c r="O29" s="24" t="n">
        <f aca="false">Aannames!$B$30*(1+IF(A29&gt;=Aannames!$B$24,1,0))</f>
        <v>80</v>
      </c>
      <c r="P29" s="24" t="n">
        <f aca="false">Aannames!$B$31</f>
        <v>70</v>
      </c>
      <c r="Q29" s="24" t="n">
        <f aca="false">IF(MOD(A29-1,12)=0,Aannames!$B$32,0)</f>
        <v>0</v>
      </c>
      <c r="R29" s="24" t="n">
        <f aca="false">Aannames!$B$33+IF(MOD(A29-1,12)=0,Aannames!$B$34,0)</f>
        <v>50</v>
      </c>
      <c r="S29" s="24" t="n">
        <f aca="false">IF(A29=1,Aannames!$B$35,0)</f>
        <v>0</v>
      </c>
      <c r="T29" s="24" t="n">
        <f aca="false">SUM(N29:S29)</f>
        <v>263.405204</v>
      </c>
      <c r="U29" s="24" t="n">
        <f aca="false">M29-T29</f>
        <v>30.8145082617182</v>
      </c>
      <c r="V29" s="24" t="n">
        <f aca="false">V28+U29</f>
        <v>-4563.82495690765</v>
      </c>
    </row>
    <row r="30" customFormat="false" ht="15" hidden="false" customHeight="false" outlineLevel="0" collapsed="false">
      <c r="A30" s="7" t="n">
        <v>23</v>
      </c>
      <c r="B30" s="7" t="s">
        <v>138</v>
      </c>
      <c r="C30" s="22" t="n">
        <f aca="false">Aannames!$B$5*(1+Aannames!$B$6)^(A30-2)*(1+IF(MOD(A30-1,12)=0,Aannames!$B$7,0))</f>
        <v>140</v>
      </c>
      <c r="D30" s="22" t="n">
        <f aca="false">IF(A30&gt;=Aannames!$B$24,Aannames!$B$26*(1+Aannames!$B$6)^(A30-Aannames!$B$24),0)</f>
        <v>0</v>
      </c>
      <c r="E30" s="22" t="n">
        <f aca="false">C30+D30</f>
        <v>140</v>
      </c>
      <c r="F30" s="22" t="n">
        <f aca="false">E30*Aannames!$B$8</f>
        <v>63</v>
      </c>
      <c r="G30" s="23" t="n">
        <f aca="false">CohortBear!X$38</f>
        <v>172.1646</v>
      </c>
      <c r="H30" s="22" t="n">
        <f aca="false">G30*Aannames!$B$9</f>
        <v>1.721646</v>
      </c>
      <c r="I30" s="24" t="n">
        <f aca="false">H30*Aannames!$B$10*(1-Aannames!$B$11)</f>
        <v>6.570661959</v>
      </c>
      <c r="J30" s="25" t="n">
        <f aca="false">MIN(J29*(1-Aannames!$B$18)+IF(A30&gt;=Aannames!$B$14,Aannames!$B$15*Aannames!$B$16,0),(Aannames!$B$19+IF(A30&gt;=Aannames!$B$24,Aannames!$B$25,0))*Aannames!$B$20)</f>
        <v>7.72860628569955</v>
      </c>
      <c r="K30" s="24" t="n">
        <f aca="false">J30*Aannames!$B$17</f>
        <v>301.415645142282</v>
      </c>
      <c r="L30" s="24" t="n">
        <f aca="false">IF(AND(A30&gt;12,MOD(A30-1,12)=0),Aannames!$B$37,0)</f>
        <v>0</v>
      </c>
      <c r="M30" s="24" t="n">
        <f aca="false">I30+K30+L30</f>
        <v>307.986307101282</v>
      </c>
      <c r="N30" s="24" t="n">
        <f aca="false">Aannames!$B$28+G30*Aannames!$B$29</f>
        <v>63.443292</v>
      </c>
      <c r="O30" s="24" t="n">
        <f aca="false">Aannames!$B$30*(1+IF(A30&gt;=Aannames!$B$24,1,0))</f>
        <v>80</v>
      </c>
      <c r="P30" s="24" t="n">
        <f aca="false">Aannames!$B$31</f>
        <v>70</v>
      </c>
      <c r="Q30" s="24" t="n">
        <f aca="false">IF(MOD(A30-1,12)=0,Aannames!$B$32,0)</f>
        <v>0</v>
      </c>
      <c r="R30" s="24" t="n">
        <f aca="false">Aannames!$B$33+IF(MOD(A30-1,12)=0,Aannames!$B$34,0)</f>
        <v>50</v>
      </c>
      <c r="S30" s="24" t="n">
        <f aca="false">IF(A30=1,Aannames!$B$35,0)</f>
        <v>0</v>
      </c>
      <c r="T30" s="24" t="n">
        <f aca="false">SUM(N30:S30)</f>
        <v>263.443292</v>
      </c>
      <c r="U30" s="24" t="n">
        <f aca="false">M30-T30</f>
        <v>44.5430151012824</v>
      </c>
      <c r="V30" s="24" t="n">
        <f aca="false">V29+U30</f>
        <v>-4519.28194180637</v>
      </c>
    </row>
    <row r="31" customFormat="false" ht="15" hidden="false" customHeight="false" outlineLevel="0" collapsed="false">
      <c r="A31" s="7" t="n">
        <v>24</v>
      </c>
      <c r="B31" s="7" t="s">
        <v>139</v>
      </c>
      <c r="C31" s="22" t="n">
        <f aca="false">Aannames!$B$5*(1+Aannames!$B$6)^(A31-2)*(1+IF(MOD(A31-1,12)=0,Aannames!$B$7,0))</f>
        <v>140</v>
      </c>
      <c r="D31" s="22" t="n">
        <f aca="false">IF(A31&gt;=Aannames!$B$24,Aannames!$B$26*(1+Aannames!$B$6)^(A31-Aannames!$B$24),0)</f>
        <v>0</v>
      </c>
      <c r="E31" s="22" t="n">
        <f aca="false">C31+D31</f>
        <v>140</v>
      </c>
      <c r="F31" s="22" t="n">
        <f aca="false">E31*Aannames!$B$8</f>
        <v>63</v>
      </c>
      <c r="G31" s="23" t="n">
        <f aca="false">CohortBear!Y$38</f>
        <v>174.0564</v>
      </c>
      <c r="H31" s="22" t="n">
        <f aca="false">G31*Aannames!$B$9</f>
        <v>1.740564</v>
      </c>
      <c r="I31" s="24" t="n">
        <f aca="false">H31*Aannames!$B$10*(1-Aannames!$B$11)</f>
        <v>6.642862506</v>
      </c>
      <c r="J31" s="25" t="n">
        <f aca="false">MIN(J30*(1-Aannames!$B$18)+IF(A31&gt;=Aannames!$B$14,Aannames!$B$15*Aannames!$B$16,0),(Aannames!$B$19+IF(A31&gt;=Aannames!$B$24,Aannames!$B$25,0))*Aannames!$B$20)</f>
        <v>8.06217597141457</v>
      </c>
      <c r="K31" s="24" t="n">
        <f aca="false">J31*Aannames!$B$17</f>
        <v>314.424862885168</v>
      </c>
      <c r="L31" s="24" t="n">
        <f aca="false">IF(AND(A31&gt;12,MOD(A31-1,12)=0),Aannames!$B$37,0)</f>
        <v>0</v>
      </c>
      <c r="M31" s="24" t="n">
        <f aca="false">I31+K31+L31</f>
        <v>321.067725391168</v>
      </c>
      <c r="N31" s="24" t="n">
        <f aca="false">Aannames!$B$28+G31*Aannames!$B$29</f>
        <v>63.481128</v>
      </c>
      <c r="O31" s="24" t="n">
        <f aca="false">Aannames!$B$30*(1+IF(A31&gt;=Aannames!$B$24,1,0))</f>
        <v>80</v>
      </c>
      <c r="P31" s="24" t="n">
        <f aca="false">Aannames!$B$31</f>
        <v>70</v>
      </c>
      <c r="Q31" s="24" t="n">
        <f aca="false">IF(MOD(A31-1,12)=0,Aannames!$B$32,0)</f>
        <v>0</v>
      </c>
      <c r="R31" s="24" t="n">
        <f aca="false">Aannames!$B$33+IF(MOD(A31-1,12)=0,Aannames!$B$34,0)</f>
        <v>50</v>
      </c>
      <c r="S31" s="24" t="n">
        <f aca="false">IF(A31=1,Aannames!$B$35,0)</f>
        <v>0</v>
      </c>
      <c r="T31" s="24" t="n">
        <f aca="false">SUM(N31:S31)</f>
        <v>263.481128</v>
      </c>
      <c r="U31" s="24" t="n">
        <f aca="false">M31-T31</f>
        <v>57.5865973911682</v>
      </c>
      <c r="V31" s="24" t="n">
        <f aca="false">V30+U31</f>
        <v>-4461.6953444152</v>
      </c>
    </row>
    <row r="32" customFormat="false" ht="15" hidden="false" customHeight="false" outlineLevel="0" collapsed="false">
      <c r="A32" s="7" t="n">
        <v>25</v>
      </c>
      <c r="B32" s="7" t="s">
        <v>140</v>
      </c>
      <c r="C32" s="22" t="n">
        <f aca="false">Aannames!$B$5*(1+Aannames!$B$6)^(A32-2)*(1+IF(MOD(A32-1,12)=0,Aannames!$B$7,0))</f>
        <v>252</v>
      </c>
      <c r="D32" s="22" t="n">
        <f aca="false">IF(A32&gt;=Aannames!$B$24,Aannames!$B$26*(1+Aannames!$B$6)^(A32-Aannames!$B$24),0)</f>
        <v>0</v>
      </c>
      <c r="E32" s="22" t="n">
        <f aca="false">C32+D32</f>
        <v>252</v>
      </c>
      <c r="F32" s="22" t="n">
        <f aca="false">E32*Aannames!$B$8</f>
        <v>113.4</v>
      </c>
      <c r="G32" s="23" t="n">
        <f aca="false">CohortBear!Z$38</f>
        <v>226.2852</v>
      </c>
      <c r="H32" s="22" t="n">
        <f aca="false">G32*Aannames!$B$9</f>
        <v>2.262852</v>
      </c>
      <c r="I32" s="24" t="n">
        <f aca="false">H32*Aannames!$B$10*(1-Aannames!$B$11)</f>
        <v>8.636174658</v>
      </c>
      <c r="J32" s="25" t="n">
        <f aca="false">MIN(J31*(1-Aannames!$B$18)+IF(A32&gt;=Aannames!$B$14,Aannames!$B$15*Aannames!$B$16,0),(Aannames!$B$19+IF(A32&gt;=Aannames!$B$24,Aannames!$B$25,0))*Aannames!$B$20)</f>
        <v>8.37906717284384</v>
      </c>
      <c r="K32" s="24" t="n">
        <f aca="false">J32*Aannames!$B$17</f>
        <v>326.78361974091</v>
      </c>
      <c r="L32" s="24" t="n">
        <f aca="false">IF(AND(A32&gt;12,MOD(A32-1,12)=0),Aannames!$B$37,0)</f>
        <v>0</v>
      </c>
      <c r="M32" s="24" t="n">
        <f aca="false">I32+K32+L32</f>
        <v>335.41979439891</v>
      </c>
      <c r="N32" s="24" t="n">
        <f aca="false">Aannames!$B$28+G32*Aannames!$B$29</f>
        <v>64.525704</v>
      </c>
      <c r="O32" s="24" t="n">
        <f aca="false">Aannames!$B$30*(1+IF(A32&gt;=Aannames!$B$24,1,0))</f>
        <v>80</v>
      </c>
      <c r="P32" s="24" t="n">
        <f aca="false">Aannames!$B$31</f>
        <v>70</v>
      </c>
      <c r="Q32" s="24" t="n">
        <f aca="false">IF(MOD(A32-1,12)=0,Aannames!$B$32,0)</f>
        <v>150</v>
      </c>
      <c r="R32" s="24" t="n">
        <f aca="false">Aannames!$B$33+IF(MOD(A32-1,12)=0,Aannames!$B$34,0)</f>
        <v>350</v>
      </c>
      <c r="S32" s="24" t="n">
        <f aca="false">IF(A32=1,Aannames!$B$35,0)</f>
        <v>0</v>
      </c>
      <c r="T32" s="24" t="n">
        <f aca="false">SUM(N32:S32)</f>
        <v>714.525704</v>
      </c>
      <c r="U32" s="24" t="n">
        <f aca="false">M32-T32</f>
        <v>-379.10590960109</v>
      </c>
      <c r="V32" s="24" t="n">
        <f aca="false">V31+U32</f>
        <v>-4840.80125401629</v>
      </c>
    </row>
    <row r="33" customFormat="false" ht="15" hidden="false" customHeight="false" outlineLevel="0" collapsed="false">
      <c r="A33" s="7" t="n">
        <v>26</v>
      </c>
      <c r="B33" s="7" t="s">
        <v>141</v>
      </c>
      <c r="C33" s="22" t="n">
        <f aca="false">Aannames!$B$5*(1+Aannames!$B$6)^(A33-2)*(1+IF(MOD(A33-1,12)=0,Aannames!$B$7,0))</f>
        <v>140</v>
      </c>
      <c r="D33" s="22" t="n">
        <f aca="false">IF(A33&gt;=Aannames!$B$24,Aannames!$B$26*(1+Aannames!$B$6)^(A33-Aannames!$B$24),0)</f>
        <v>0</v>
      </c>
      <c r="E33" s="22" t="n">
        <f aca="false">C33+D33</f>
        <v>140</v>
      </c>
      <c r="F33" s="22" t="n">
        <f aca="false">E33*Aannames!$B$8</f>
        <v>63</v>
      </c>
      <c r="G33" s="23" t="n">
        <f aca="false">CohortBear!AA$38</f>
        <v>191.8134</v>
      </c>
      <c r="H33" s="22" t="n">
        <f aca="false">G33*Aannames!$B$9</f>
        <v>1.918134</v>
      </c>
      <c r="I33" s="24" t="n">
        <f aca="false">H33*Aannames!$B$10*(1-Aannames!$B$11)</f>
        <v>7.320558411</v>
      </c>
      <c r="J33" s="25" t="n">
        <f aca="false">MIN(J32*(1-Aannames!$B$18)+IF(A33&gt;=Aannames!$B$14,Aannames!$B$15*Aannames!$B$16,0),(Aannames!$B$19+IF(A33&gt;=Aannames!$B$24,Aannames!$B$25,0))*Aannames!$B$20)</f>
        <v>8.68011381420165</v>
      </c>
      <c r="K33" s="24" t="n">
        <f aca="false">J33*Aannames!$B$17</f>
        <v>338.524438753864</v>
      </c>
      <c r="L33" s="24" t="n">
        <f aca="false">IF(AND(A33&gt;12,MOD(A33-1,12)=0),Aannames!$B$37,0)</f>
        <v>0</v>
      </c>
      <c r="M33" s="24" t="n">
        <f aca="false">I33+K33+L33</f>
        <v>345.844997164864</v>
      </c>
      <c r="N33" s="24" t="n">
        <f aca="false">Aannames!$B$28+G33*Aannames!$B$29</f>
        <v>63.836268</v>
      </c>
      <c r="O33" s="24" t="n">
        <f aca="false">Aannames!$B$30*(1+IF(A33&gt;=Aannames!$B$24,1,0))</f>
        <v>80</v>
      </c>
      <c r="P33" s="24" t="n">
        <f aca="false">Aannames!$B$31</f>
        <v>70</v>
      </c>
      <c r="Q33" s="24" t="n">
        <f aca="false">IF(MOD(A33-1,12)=0,Aannames!$B$32,0)</f>
        <v>0</v>
      </c>
      <c r="R33" s="24" t="n">
        <f aca="false">Aannames!$B$33+IF(MOD(A33-1,12)=0,Aannames!$B$34,0)</f>
        <v>50</v>
      </c>
      <c r="S33" s="24" t="n">
        <f aca="false">IF(A33=1,Aannames!$B$35,0)</f>
        <v>0</v>
      </c>
      <c r="T33" s="24" t="n">
        <f aca="false">SUM(N33:S33)</f>
        <v>263.836268</v>
      </c>
      <c r="U33" s="24" t="n">
        <f aca="false">M33-T33</f>
        <v>82.0087291648642</v>
      </c>
      <c r="V33" s="24" t="n">
        <f aca="false">V32+U33</f>
        <v>-4758.79252485143</v>
      </c>
    </row>
    <row r="34" customFormat="false" ht="15" hidden="false" customHeight="false" outlineLevel="0" collapsed="false">
      <c r="A34" s="7" t="n">
        <v>27</v>
      </c>
      <c r="B34" s="7" t="s">
        <v>142</v>
      </c>
      <c r="C34" s="22" t="n">
        <f aca="false">Aannames!$B$5*(1+Aannames!$B$6)^(A34-2)*(1+IF(MOD(A34-1,12)=0,Aannames!$B$7,0))</f>
        <v>140</v>
      </c>
      <c r="D34" s="22" t="n">
        <f aca="false">IF(A34&gt;=Aannames!$B$24,Aannames!$B$26*(1+Aannames!$B$6)^(A34-Aannames!$B$24),0)</f>
        <v>0</v>
      </c>
      <c r="E34" s="22" t="n">
        <f aca="false">C34+D34</f>
        <v>140</v>
      </c>
      <c r="F34" s="22" t="n">
        <f aca="false">E34*Aannames!$B$8</f>
        <v>63</v>
      </c>
      <c r="G34" s="23" t="n">
        <f aca="false">CohortBear!AB$38</f>
        <v>188.5266</v>
      </c>
      <c r="H34" s="22" t="n">
        <f aca="false">G34*Aannames!$B$9</f>
        <v>1.885266</v>
      </c>
      <c r="I34" s="24" t="n">
        <f aca="false">H34*Aannames!$B$10*(1-Aannames!$B$11)</f>
        <v>7.195117689</v>
      </c>
      <c r="J34" s="25" t="n">
        <f aca="false">MIN(J33*(1-Aannames!$B$18)+IF(A34&gt;=Aannames!$B$14,Aannames!$B$15*Aannames!$B$16,0),(Aannames!$B$19+IF(A34&gt;=Aannames!$B$24,Aannames!$B$25,0))*Aannames!$B$20)</f>
        <v>8.96610812349157</v>
      </c>
      <c r="K34" s="24" t="n">
        <f aca="false">J34*Aannames!$B$17</f>
        <v>349.678216816171</v>
      </c>
      <c r="L34" s="24" t="n">
        <f aca="false">IF(AND(A34&gt;12,MOD(A34-1,12)=0),Aannames!$B$37,0)</f>
        <v>0</v>
      </c>
      <c r="M34" s="24" t="n">
        <f aca="false">I34+K34+L34</f>
        <v>356.873334505171</v>
      </c>
      <c r="N34" s="24" t="n">
        <f aca="false">Aannames!$B$28+G34*Aannames!$B$29</f>
        <v>63.770532</v>
      </c>
      <c r="O34" s="24" t="n">
        <f aca="false">Aannames!$B$30*(1+IF(A34&gt;=Aannames!$B$24,1,0))</f>
        <v>80</v>
      </c>
      <c r="P34" s="24" t="n">
        <f aca="false">Aannames!$B$31</f>
        <v>70</v>
      </c>
      <c r="Q34" s="24" t="n">
        <f aca="false">IF(MOD(A34-1,12)=0,Aannames!$B$32,0)</f>
        <v>0</v>
      </c>
      <c r="R34" s="24" t="n">
        <f aca="false">Aannames!$B$33+IF(MOD(A34-1,12)=0,Aannames!$B$34,0)</f>
        <v>50</v>
      </c>
      <c r="S34" s="24" t="n">
        <f aca="false">IF(A34=1,Aannames!$B$35,0)</f>
        <v>0</v>
      </c>
      <c r="T34" s="24" t="n">
        <f aca="false">SUM(N34:S34)</f>
        <v>263.770532</v>
      </c>
      <c r="U34" s="24" t="n">
        <f aca="false">M34-T34</f>
        <v>93.1028025051712</v>
      </c>
      <c r="V34" s="24" t="n">
        <f aca="false">V33+U34</f>
        <v>-4665.68972234625</v>
      </c>
    </row>
    <row r="35" customFormat="false" ht="15" hidden="false" customHeight="false" outlineLevel="0" collapsed="false">
      <c r="A35" s="7" t="n">
        <v>28</v>
      </c>
      <c r="B35" s="7" t="s">
        <v>143</v>
      </c>
      <c r="C35" s="22" t="n">
        <f aca="false">Aannames!$B$5*(1+Aannames!$B$6)^(A35-2)*(1+IF(MOD(A35-1,12)=0,Aannames!$B$7,0))</f>
        <v>140</v>
      </c>
      <c r="D35" s="22" t="n">
        <f aca="false">IF(A35&gt;=Aannames!$B$24,Aannames!$B$26*(1+Aannames!$B$6)^(A35-Aannames!$B$24),0)</f>
        <v>0</v>
      </c>
      <c r="E35" s="22" t="n">
        <f aca="false">C35+D35</f>
        <v>140</v>
      </c>
      <c r="F35" s="22" t="n">
        <f aca="false">E35*Aannames!$B$8</f>
        <v>63</v>
      </c>
      <c r="G35" s="23" t="n">
        <f aca="false">CohortBear!AC$38</f>
        <v>187.7472</v>
      </c>
      <c r="H35" s="22" t="n">
        <f aca="false">G35*Aannames!$B$9</f>
        <v>1.877472</v>
      </c>
      <c r="I35" s="24" t="n">
        <f aca="false">H35*Aannames!$B$10*(1-Aannames!$B$11)</f>
        <v>7.165371888</v>
      </c>
      <c r="J35" s="25" t="n">
        <f aca="false">MIN(J34*(1-Aannames!$B$18)+IF(A35&gt;=Aannames!$B$14,Aannames!$B$15*Aannames!$B$16,0),(Aannames!$B$19+IF(A35&gt;=Aannames!$B$24,Aannames!$B$25,0))*Aannames!$B$20)</f>
        <v>9.23780271731699</v>
      </c>
      <c r="K35" s="24" t="n">
        <f aca="false">J35*Aannames!$B$17</f>
        <v>360.274305975363</v>
      </c>
      <c r="L35" s="24" t="n">
        <f aca="false">IF(AND(A35&gt;12,MOD(A35-1,12)=0),Aannames!$B$37,0)</f>
        <v>0</v>
      </c>
      <c r="M35" s="24" t="n">
        <f aca="false">I35+K35+L35</f>
        <v>367.439677863363</v>
      </c>
      <c r="N35" s="24" t="n">
        <f aca="false">Aannames!$B$28+G35*Aannames!$B$29</f>
        <v>63.754944</v>
      </c>
      <c r="O35" s="24" t="n">
        <f aca="false">Aannames!$B$30*(1+IF(A35&gt;=Aannames!$B$24,1,0))</f>
        <v>80</v>
      </c>
      <c r="P35" s="24" t="n">
        <f aca="false">Aannames!$B$31</f>
        <v>70</v>
      </c>
      <c r="Q35" s="24" t="n">
        <f aca="false">IF(MOD(A35-1,12)=0,Aannames!$B$32,0)</f>
        <v>0</v>
      </c>
      <c r="R35" s="24" t="n">
        <f aca="false">Aannames!$B$33+IF(MOD(A35-1,12)=0,Aannames!$B$34,0)</f>
        <v>50</v>
      </c>
      <c r="S35" s="24" t="n">
        <f aca="false">IF(A35=1,Aannames!$B$35,0)</f>
        <v>0</v>
      </c>
      <c r="T35" s="24" t="n">
        <f aca="false">SUM(N35:S35)</f>
        <v>263.754944</v>
      </c>
      <c r="U35" s="24" t="n">
        <f aca="false">M35-T35</f>
        <v>103.684733863363</v>
      </c>
      <c r="V35" s="24" t="n">
        <f aca="false">V34+U35</f>
        <v>-4562.00498848289</v>
      </c>
    </row>
    <row r="36" customFormat="false" ht="15" hidden="false" customHeight="false" outlineLevel="0" collapsed="false">
      <c r="A36" s="7" t="n">
        <v>29</v>
      </c>
      <c r="B36" s="7" t="s">
        <v>144</v>
      </c>
      <c r="C36" s="22" t="n">
        <f aca="false">Aannames!$B$5*(1+Aannames!$B$6)^(A36-2)*(1+IF(MOD(A36-1,12)=0,Aannames!$B$7,0))</f>
        <v>140</v>
      </c>
      <c r="D36" s="22" t="n">
        <f aca="false">IF(A36&gt;=Aannames!$B$24,Aannames!$B$26*(1+Aannames!$B$6)^(A36-Aannames!$B$24),0)</f>
        <v>0</v>
      </c>
      <c r="E36" s="22" t="n">
        <f aca="false">C36+D36</f>
        <v>140</v>
      </c>
      <c r="F36" s="22" t="n">
        <f aca="false">E36*Aannames!$B$8</f>
        <v>63</v>
      </c>
      <c r="G36" s="23" t="n">
        <f aca="false">CohortBear!AD$38</f>
        <v>187.9128</v>
      </c>
      <c r="H36" s="22" t="n">
        <f aca="false">G36*Aannames!$B$9</f>
        <v>1.879128</v>
      </c>
      <c r="I36" s="24" t="n">
        <f aca="false">H36*Aannames!$B$10*(1-Aannames!$B$11)</f>
        <v>7.171692012</v>
      </c>
      <c r="J36" s="25" t="n">
        <f aca="false">MIN(J35*(1-Aannames!$B$18)+IF(A36&gt;=Aannames!$B$14,Aannames!$B$15*Aannames!$B$16,0),(Aannames!$B$19+IF(A36&gt;=Aannames!$B$24,Aannames!$B$25,0))*Aannames!$B$20)</f>
        <v>9.49591258145114</v>
      </c>
      <c r="K36" s="24" t="n">
        <f aca="false">J36*Aannames!$B$17</f>
        <v>370.340590676594</v>
      </c>
      <c r="L36" s="24" t="n">
        <f aca="false">IF(AND(A36&gt;12,MOD(A36-1,12)=0),Aannames!$B$37,0)</f>
        <v>0</v>
      </c>
      <c r="M36" s="24" t="n">
        <f aca="false">I36+K36+L36</f>
        <v>377.512282688594</v>
      </c>
      <c r="N36" s="24" t="n">
        <f aca="false">Aannames!$B$28+G36*Aannames!$B$29</f>
        <v>63.758256</v>
      </c>
      <c r="O36" s="24" t="n">
        <f aca="false">Aannames!$B$30*(1+IF(A36&gt;=Aannames!$B$24,1,0))</f>
        <v>80</v>
      </c>
      <c r="P36" s="24" t="n">
        <f aca="false">Aannames!$B$31</f>
        <v>70</v>
      </c>
      <c r="Q36" s="24" t="n">
        <f aca="false">IF(MOD(A36-1,12)=0,Aannames!$B$32,0)</f>
        <v>0</v>
      </c>
      <c r="R36" s="24" t="n">
        <f aca="false">Aannames!$B$33+IF(MOD(A36-1,12)=0,Aannames!$B$34,0)</f>
        <v>50</v>
      </c>
      <c r="S36" s="24" t="n">
        <f aca="false">IF(A36=1,Aannames!$B$35,0)</f>
        <v>0</v>
      </c>
      <c r="T36" s="24" t="n">
        <f aca="false">SUM(N36:S36)</f>
        <v>263.758256</v>
      </c>
      <c r="U36" s="24" t="n">
        <f aca="false">M36-T36</f>
        <v>113.754026688594</v>
      </c>
      <c r="V36" s="24" t="n">
        <f aca="false">V35+U36</f>
        <v>-4448.2509617943</v>
      </c>
    </row>
    <row r="37" customFormat="false" ht="15" hidden="false" customHeight="false" outlineLevel="0" collapsed="false">
      <c r="A37" s="7" t="n">
        <v>30</v>
      </c>
      <c r="B37" s="7" t="s">
        <v>145</v>
      </c>
      <c r="C37" s="22" t="n">
        <f aca="false">Aannames!$B$5*(1+Aannames!$B$6)^(A37-2)*(1+IF(MOD(A37-1,12)=0,Aannames!$B$7,0))</f>
        <v>140</v>
      </c>
      <c r="D37" s="22" t="n">
        <f aca="false">IF(A37&gt;=Aannames!$B$24,Aannames!$B$26*(1+Aannames!$B$6)^(A37-Aannames!$B$24),0)</f>
        <v>0</v>
      </c>
      <c r="E37" s="22" t="n">
        <f aca="false">C37+D37</f>
        <v>140</v>
      </c>
      <c r="F37" s="22" t="n">
        <f aca="false">E37*Aannames!$B$8</f>
        <v>63</v>
      </c>
      <c r="G37" s="23" t="n">
        <f aca="false">CohortBear!AE$38</f>
        <v>188.9964</v>
      </c>
      <c r="H37" s="22" t="n">
        <f aca="false">G37*Aannames!$B$9</f>
        <v>1.889964</v>
      </c>
      <c r="I37" s="24" t="n">
        <f aca="false">H37*Aannames!$B$10*(1-Aannames!$B$11)</f>
        <v>7.213047606</v>
      </c>
      <c r="J37" s="25" t="n">
        <f aca="false">MIN(J36*(1-Aannames!$B$18)+IF(A37&gt;=Aannames!$B$14,Aannames!$B$15*Aannames!$B$16,0),(Aannames!$B$19+IF(A37&gt;=Aannames!$B$24,Aannames!$B$25,0))*Aannames!$B$20)</f>
        <v>9.74111695237858</v>
      </c>
      <c r="K37" s="24" t="n">
        <f aca="false">J37*Aannames!$B$17</f>
        <v>379.903561142765</v>
      </c>
      <c r="L37" s="24" t="n">
        <f aca="false">IF(AND(A37&gt;12,MOD(A37-1,12)=0),Aannames!$B$37,0)</f>
        <v>0</v>
      </c>
      <c r="M37" s="24" t="n">
        <f aca="false">I37+K37+L37</f>
        <v>387.116608748765</v>
      </c>
      <c r="N37" s="24" t="n">
        <f aca="false">Aannames!$B$28+G37*Aannames!$B$29</f>
        <v>63.779928</v>
      </c>
      <c r="O37" s="24" t="n">
        <f aca="false">Aannames!$B$30*(1+IF(A37&gt;=Aannames!$B$24,1,0))</f>
        <v>80</v>
      </c>
      <c r="P37" s="24" t="n">
        <f aca="false">Aannames!$B$31</f>
        <v>70</v>
      </c>
      <c r="Q37" s="24" t="n">
        <f aca="false">IF(MOD(A37-1,12)=0,Aannames!$B$32,0)</f>
        <v>0</v>
      </c>
      <c r="R37" s="24" t="n">
        <f aca="false">Aannames!$B$33+IF(MOD(A37-1,12)=0,Aannames!$B$34,0)</f>
        <v>50</v>
      </c>
      <c r="S37" s="24" t="n">
        <f aca="false">IF(A37=1,Aannames!$B$35,0)</f>
        <v>0</v>
      </c>
      <c r="T37" s="24" t="n">
        <f aca="false">SUM(N37:S37)</f>
        <v>263.779928</v>
      </c>
      <c r="U37" s="24" t="n">
        <f aca="false">M37-T37</f>
        <v>123.336680748765</v>
      </c>
      <c r="V37" s="24" t="n">
        <f aca="false">V36+U37</f>
        <v>-4324.91428104553</v>
      </c>
    </row>
    <row r="38" customFormat="false" ht="15" hidden="false" customHeight="false" outlineLevel="0" collapsed="false">
      <c r="A38" s="7" t="n">
        <v>31</v>
      </c>
      <c r="B38" s="7" t="s">
        <v>146</v>
      </c>
      <c r="C38" s="22" t="n">
        <f aca="false">Aannames!$B$5*(1+Aannames!$B$6)^(A38-2)*(1+IF(MOD(A38-1,12)=0,Aannames!$B$7,0))</f>
        <v>140</v>
      </c>
      <c r="D38" s="22" t="n">
        <f aca="false">IF(A38&gt;=Aannames!$B$24,Aannames!$B$26*(1+Aannames!$B$6)^(A38-Aannames!$B$24),0)</f>
        <v>0</v>
      </c>
      <c r="E38" s="22" t="n">
        <f aca="false">C38+D38</f>
        <v>140</v>
      </c>
      <c r="F38" s="22" t="n">
        <f aca="false">E38*Aannames!$B$8</f>
        <v>63</v>
      </c>
      <c r="G38" s="23" t="n">
        <f aca="false">CohortBear!AF$38</f>
        <v>190.107</v>
      </c>
      <c r="H38" s="22" t="n">
        <f aca="false">G38*Aannames!$B$9</f>
        <v>1.90107</v>
      </c>
      <c r="I38" s="24" t="n">
        <f aca="false">H38*Aannames!$B$10*(1-Aannames!$B$11)</f>
        <v>7.255433655</v>
      </c>
      <c r="J38" s="25" t="n">
        <f aca="false">MIN(J37*(1-Aannames!$B$18)+IF(A38&gt;=Aannames!$B$14,Aannames!$B$15*Aannames!$B$16,0),(Aannames!$B$19+IF(A38&gt;=Aannames!$B$24,Aannames!$B$25,0))*Aannames!$B$20)</f>
        <v>9.97406110475965</v>
      </c>
      <c r="K38" s="24" t="n">
        <f aca="false">J38*Aannames!$B$17</f>
        <v>388.988383085627</v>
      </c>
      <c r="L38" s="24" t="n">
        <f aca="false">IF(AND(A38&gt;12,MOD(A38-1,12)=0),Aannames!$B$37,0)</f>
        <v>0</v>
      </c>
      <c r="M38" s="24" t="n">
        <f aca="false">I38+K38+L38</f>
        <v>396.243816740627</v>
      </c>
      <c r="N38" s="24" t="n">
        <f aca="false">Aannames!$B$28+G38*Aannames!$B$29</f>
        <v>63.80214</v>
      </c>
      <c r="O38" s="24" t="n">
        <f aca="false">Aannames!$B$30*(1+IF(A38&gt;=Aannames!$B$24,1,0))</f>
        <v>80</v>
      </c>
      <c r="P38" s="24" t="n">
        <f aca="false">Aannames!$B$31</f>
        <v>70</v>
      </c>
      <c r="Q38" s="24" t="n">
        <f aca="false">IF(MOD(A38-1,12)=0,Aannames!$B$32,0)</f>
        <v>0</v>
      </c>
      <c r="R38" s="24" t="n">
        <f aca="false">Aannames!$B$33+IF(MOD(A38-1,12)=0,Aannames!$B$34,0)</f>
        <v>50</v>
      </c>
      <c r="S38" s="24" t="n">
        <f aca="false">IF(A38=1,Aannames!$B$35,0)</f>
        <v>0</v>
      </c>
      <c r="T38" s="24" t="n">
        <f aca="false">SUM(N38:S38)</f>
        <v>263.80214</v>
      </c>
      <c r="U38" s="24" t="n">
        <f aca="false">M38-T38</f>
        <v>132.441676740627</v>
      </c>
      <c r="V38" s="24" t="n">
        <f aca="false">V37+U38</f>
        <v>-4192.47260430491</v>
      </c>
    </row>
    <row r="39" customFormat="false" ht="15" hidden="false" customHeight="false" outlineLevel="0" collapsed="false">
      <c r="A39" s="7" t="n">
        <v>32</v>
      </c>
      <c r="B39" s="7" t="s">
        <v>147</v>
      </c>
      <c r="C39" s="22" t="n">
        <f aca="false">Aannames!$B$5*(1+Aannames!$B$6)^(A39-2)*(1+IF(MOD(A39-1,12)=0,Aannames!$B$7,0))</f>
        <v>140</v>
      </c>
      <c r="D39" s="22" t="n">
        <f aca="false">IF(A39&gt;=Aannames!$B$24,Aannames!$B$26*(1+Aannames!$B$6)^(A39-Aannames!$B$24),0)</f>
        <v>0</v>
      </c>
      <c r="E39" s="22" t="n">
        <f aca="false">C39+D39</f>
        <v>140</v>
      </c>
      <c r="F39" s="22" t="n">
        <f aca="false">E39*Aannames!$B$8</f>
        <v>63</v>
      </c>
      <c r="G39" s="23" t="n">
        <f aca="false">CohortBear!AG$38</f>
        <v>191.5308</v>
      </c>
      <c r="H39" s="22" t="n">
        <f aca="false">G39*Aannames!$B$9</f>
        <v>1.915308</v>
      </c>
      <c r="I39" s="24" t="n">
        <f aca="false">H39*Aannames!$B$10*(1-Aannames!$B$11)</f>
        <v>7.309772982</v>
      </c>
      <c r="J39" s="25" t="n">
        <f aca="false">MIN(J38*(1-Aannames!$B$18)+IF(A39&gt;=Aannames!$B$14,Aannames!$B$15*Aannames!$B$16,0),(Aannames!$B$19+IF(A39&gt;=Aannames!$B$24,Aannames!$B$25,0))*Aannames!$B$20)</f>
        <v>10.1953580495217</v>
      </c>
      <c r="K39" s="24" t="n">
        <f aca="false">J39*Aannames!$B$17</f>
        <v>397.618963931345</v>
      </c>
      <c r="L39" s="24" t="n">
        <f aca="false">IF(AND(A39&gt;12,MOD(A39-1,12)=0),Aannames!$B$37,0)</f>
        <v>0</v>
      </c>
      <c r="M39" s="24" t="n">
        <f aca="false">I39+K39+L39</f>
        <v>404.928736913345</v>
      </c>
      <c r="N39" s="24" t="n">
        <f aca="false">Aannames!$B$28+G39*Aannames!$B$29</f>
        <v>63.830616</v>
      </c>
      <c r="O39" s="24" t="n">
        <f aca="false">Aannames!$B$30*(1+IF(A39&gt;=Aannames!$B$24,1,0))</f>
        <v>80</v>
      </c>
      <c r="P39" s="24" t="n">
        <f aca="false">Aannames!$B$31</f>
        <v>70</v>
      </c>
      <c r="Q39" s="24" t="n">
        <f aca="false">IF(MOD(A39-1,12)=0,Aannames!$B$32,0)</f>
        <v>0</v>
      </c>
      <c r="R39" s="24" t="n">
        <f aca="false">Aannames!$B$33+IF(MOD(A39-1,12)=0,Aannames!$B$34,0)</f>
        <v>50</v>
      </c>
      <c r="S39" s="24" t="n">
        <f aca="false">IF(A39=1,Aannames!$B$35,0)</f>
        <v>0</v>
      </c>
      <c r="T39" s="24" t="n">
        <f aca="false">SUM(N39:S39)</f>
        <v>263.830616</v>
      </c>
      <c r="U39" s="24" t="n">
        <f aca="false">M39-T39</f>
        <v>141.098120913345</v>
      </c>
      <c r="V39" s="24" t="n">
        <f aca="false">V38+U39</f>
        <v>-4051.37448339156</v>
      </c>
    </row>
    <row r="40" customFormat="false" ht="15" hidden="false" customHeight="false" outlineLevel="0" collapsed="false">
      <c r="A40" s="7" t="n">
        <v>33</v>
      </c>
      <c r="B40" s="7" t="s">
        <v>148</v>
      </c>
      <c r="C40" s="22" t="n">
        <f aca="false">Aannames!$B$5*(1+Aannames!$B$6)^(A40-2)*(1+IF(MOD(A40-1,12)=0,Aannames!$B$7,0))</f>
        <v>140</v>
      </c>
      <c r="D40" s="22" t="n">
        <f aca="false">IF(A40&gt;=Aannames!$B$24,Aannames!$B$26*(1+Aannames!$B$6)^(A40-Aannames!$B$24),0)</f>
        <v>0</v>
      </c>
      <c r="E40" s="22" t="n">
        <f aca="false">C40+D40</f>
        <v>140</v>
      </c>
      <c r="F40" s="22" t="n">
        <f aca="false">E40*Aannames!$B$8</f>
        <v>63</v>
      </c>
      <c r="G40" s="23" t="n">
        <f aca="false">CohortBear!AH$38</f>
        <v>192.78</v>
      </c>
      <c r="H40" s="22" t="n">
        <f aca="false">G40*Aannames!$B$9</f>
        <v>1.9278</v>
      </c>
      <c r="I40" s="24" t="n">
        <f aca="false">H40*Aannames!$B$10*(1-Aannames!$B$11)</f>
        <v>7.3574487</v>
      </c>
      <c r="J40" s="25" t="n">
        <f aca="false">MIN(J39*(1-Aannames!$B$18)+IF(A40&gt;=Aannames!$B$14,Aannames!$B$15*Aannames!$B$16,0),(Aannames!$B$19+IF(A40&gt;=Aannames!$B$24,Aannames!$B$25,0))*Aannames!$B$20)</f>
        <v>10.4055901470456</v>
      </c>
      <c r="K40" s="24" t="n">
        <f aca="false">J40*Aannames!$B$17</f>
        <v>405.818015734778</v>
      </c>
      <c r="L40" s="24" t="n">
        <f aca="false">IF(AND(A40&gt;12,MOD(A40-1,12)=0),Aannames!$B$37,0)</f>
        <v>0</v>
      </c>
      <c r="M40" s="24" t="n">
        <f aca="false">I40+K40+L40</f>
        <v>413.175464434778</v>
      </c>
      <c r="N40" s="24" t="n">
        <f aca="false">Aannames!$B$28+G40*Aannames!$B$29</f>
        <v>63.8556</v>
      </c>
      <c r="O40" s="24" t="n">
        <f aca="false">Aannames!$B$30*(1+IF(A40&gt;=Aannames!$B$24,1,0))</f>
        <v>80</v>
      </c>
      <c r="P40" s="24" t="n">
        <f aca="false">Aannames!$B$31</f>
        <v>70</v>
      </c>
      <c r="Q40" s="24" t="n">
        <f aca="false">IF(MOD(A40-1,12)=0,Aannames!$B$32,0)</f>
        <v>0</v>
      </c>
      <c r="R40" s="24" t="n">
        <f aca="false">Aannames!$B$33+IF(MOD(A40-1,12)=0,Aannames!$B$34,0)</f>
        <v>50</v>
      </c>
      <c r="S40" s="24" t="n">
        <f aca="false">IF(A40=1,Aannames!$B$35,0)</f>
        <v>0</v>
      </c>
      <c r="T40" s="24" t="n">
        <f aca="false">SUM(N40:S40)</f>
        <v>263.8556</v>
      </c>
      <c r="U40" s="24" t="n">
        <f aca="false">M40-T40</f>
        <v>149.319864434778</v>
      </c>
      <c r="V40" s="24" t="n">
        <f aca="false">V39+U40</f>
        <v>-3902.05461895678</v>
      </c>
    </row>
    <row r="41" customFormat="false" ht="15" hidden="false" customHeight="false" outlineLevel="0" collapsed="false">
      <c r="A41" s="7" t="n">
        <v>34</v>
      </c>
      <c r="B41" s="7" t="s">
        <v>149</v>
      </c>
      <c r="C41" s="22" t="n">
        <f aca="false">Aannames!$B$5*(1+Aannames!$B$6)^(A41-2)*(1+IF(MOD(A41-1,12)=0,Aannames!$B$7,0))</f>
        <v>140</v>
      </c>
      <c r="D41" s="22" t="n">
        <f aca="false">IF(A41&gt;=Aannames!$B$24,Aannames!$B$26*(1+Aannames!$B$6)^(A41-Aannames!$B$24),0)</f>
        <v>0</v>
      </c>
      <c r="E41" s="22" t="n">
        <f aca="false">C41+D41</f>
        <v>140</v>
      </c>
      <c r="F41" s="22" t="n">
        <f aca="false">E41*Aannames!$B$8</f>
        <v>63</v>
      </c>
      <c r="G41" s="23" t="n">
        <f aca="false">CohortBear!AI$38</f>
        <v>194.292</v>
      </c>
      <c r="H41" s="22" t="n">
        <f aca="false">G41*Aannames!$B$9</f>
        <v>1.94292</v>
      </c>
      <c r="I41" s="24" t="n">
        <f aca="false">H41*Aannames!$B$10*(1-Aannames!$B$11)</f>
        <v>7.41515418</v>
      </c>
      <c r="J41" s="25" t="n">
        <f aca="false">MIN(J40*(1-Aannames!$B$18)+IF(A41&gt;=Aannames!$B$14,Aannames!$B$15*Aannames!$B$16,0),(Aannames!$B$19+IF(A41&gt;=Aannames!$B$24,Aannames!$B$25,0))*Aannames!$B$20)</f>
        <v>10.6053106396933</v>
      </c>
      <c r="K41" s="24" t="n">
        <f aca="false">J41*Aannames!$B$17</f>
        <v>413.607114948039</v>
      </c>
      <c r="L41" s="24" t="n">
        <f aca="false">IF(AND(A41&gt;12,MOD(A41-1,12)=0),Aannames!$B$37,0)</f>
        <v>0</v>
      </c>
      <c r="M41" s="24" t="n">
        <f aca="false">I41+K41+L41</f>
        <v>421.022269128039</v>
      </c>
      <c r="N41" s="24" t="n">
        <f aca="false">Aannames!$B$28+G41*Aannames!$B$29</f>
        <v>63.88584</v>
      </c>
      <c r="O41" s="24" t="n">
        <f aca="false">Aannames!$B$30*(1+IF(A41&gt;=Aannames!$B$24,1,0))</f>
        <v>80</v>
      </c>
      <c r="P41" s="24" t="n">
        <f aca="false">Aannames!$B$31</f>
        <v>70</v>
      </c>
      <c r="Q41" s="24" t="n">
        <f aca="false">IF(MOD(A41-1,12)=0,Aannames!$B$32,0)</f>
        <v>0</v>
      </c>
      <c r="R41" s="24" t="n">
        <f aca="false">Aannames!$B$33+IF(MOD(A41-1,12)=0,Aannames!$B$34,0)</f>
        <v>50</v>
      </c>
      <c r="S41" s="24" t="n">
        <f aca="false">IF(A41=1,Aannames!$B$35,0)</f>
        <v>0</v>
      </c>
      <c r="T41" s="24" t="n">
        <f aca="false">SUM(N41:S41)</f>
        <v>263.88584</v>
      </c>
      <c r="U41" s="24" t="n">
        <f aca="false">M41-T41</f>
        <v>157.136429128039</v>
      </c>
      <c r="V41" s="24" t="n">
        <f aca="false">V40+U41</f>
        <v>-3744.91818982874</v>
      </c>
    </row>
    <row r="42" customFormat="false" ht="15" hidden="false" customHeight="false" outlineLevel="0" collapsed="false">
      <c r="A42" s="7" t="n">
        <v>35</v>
      </c>
      <c r="B42" s="7" t="s">
        <v>150</v>
      </c>
      <c r="C42" s="22" t="n">
        <f aca="false">Aannames!$B$5*(1+Aannames!$B$6)^(A42-2)*(1+IF(MOD(A42-1,12)=0,Aannames!$B$7,0))</f>
        <v>140</v>
      </c>
      <c r="D42" s="22" t="n">
        <f aca="false">IF(A42&gt;=Aannames!$B$24,Aannames!$B$26*(1+Aannames!$B$6)^(A42-Aannames!$B$24),0)</f>
        <v>0</v>
      </c>
      <c r="E42" s="22" t="n">
        <f aca="false">C42+D42</f>
        <v>140</v>
      </c>
      <c r="F42" s="22" t="n">
        <f aca="false">E42*Aannames!$B$8</f>
        <v>63</v>
      </c>
      <c r="G42" s="23" t="n">
        <f aca="false">CohortBear!AJ$38</f>
        <v>195.579</v>
      </c>
      <c r="H42" s="22" t="n">
        <f aca="false">G42*Aannames!$B$9</f>
        <v>1.95579</v>
      </c>
      <c r="I42" s="24" t="n">
        <f aca="false">H42*Aannames!$B$10*(1-Aannames!$B$11)</f>
        <v>7.464272535</v>
      </c>
      <c r="J42" s="25" t="n">
        <f aca="false">MIN(J41*(1-Aannames!$B$18)+IF(A42&gt;=Aannames!$B$14,Aannames!$B$15*Aannames!$B$16,0),(Aannames!$B$19+IF(A42&gt;=Aannames!$B$24,Aannames!$B$25,0))*Aannames!$B$20)</f>
        <v>10.7950451077086</v>
      </c>
      <c r="K42" s="24" t="n">
        <f aca="false">J42*Aannames!$B$17</f>
        <v>421.006759200637</v>
      </c>
      <c r="L42" s="24" t="n">
        <f aca="false">IF(AND(A42&gt;12,MOD(A42-1,12)=0),Aannames!$B$37,0)</f>
        <v>0</v>
      </c>
      <c r="M42" s="24" t="n">
        <f aca="false">I42+K42+L42</f>
        <v>428.471031735637</v>
      </c>
      <c r="N42" s="24" t="n">
        <f aca="false">Aannames!$B$28+G42*Aannames!$B$29</f>
        <v>63.91158</v>
      </c>
      <c r="O42" s="24" t="n">
        <f aca="false">Aannames!$B$30*(1+IF(A42&gt;=Aannames!$B$24,1,0))</f>
        <v>80</v>
      </c>
      <c r="P42" s="24" t="n">
        <f aca="false">Aannames!$B$31</f>
        <v>70</v>
      </c>
      <c r="Q42" s="24" t="n">
        <f aca="false">IF(MOD(A42-1,12)=0,Aannames!$B$32,0)</f>
        <v>0</v>
      </c>
      <c r="R42" s="24" t="n">
        <f aca="false">Aannames!$B$33+IF(MOD(A42-1,12)=0,Aannames!$B$34,0)</f>
        <v>50</v>
      </c>
      <c r="S42" s="24" t="n">
        <f aca="false">IF(A42=1,Aannames!$B$35,0)</f>
        <v>0</v>
      </c>
      <c r="T42" s="24" t="n">
        <f aca="false">SUM(N42:S42)</f>
        <v>263.91158</v>
      </c>
      <c r="U42" s="24" t="n">
        <f aca="false">M42-T42</f>
        <v>164.559451735637</v>
      </c>
      <c r="V42" s="24" t="n">
        <f aca="false">V41+U42</f>
        <v>-3580.35873809311</v>
      </c>
    </row>
    <row r="43" customFormat="false" ht="15" hidden="false" customHeight="false" outlineLevel="0" collapsed="false">
      <c r="A43" s="7" t="n">
        <v>36</v>
      </c>
      <c r="B43" s="7" t="s">
        <v>151</v>
      </c>
      <c r="C43" s="22" t="n">
        <f aca="false">Aannames!$B$5*(1+Aannames!$B$6)^(A43-2)*(1+IF(MOD(A43-1,12)=0,Aannames!$B$7,0))</f>
        <v>140</v>
      </c>
      <c r="D43" s="22" t="n">
        <f aca="false">IF(A43&gt;=Aannames!$B$24,Aannames!$B$26*(1+Aannames!$B$6)^(A43-Aannames!$B$24),0)</f>
        <v>0</v>
      </c>
      <c r="E43" s="22" t="n">
        <f aca="false">C43+D43</f>
        <v>140</v>
      </c>
      <c r="F43" s="22" t="n">
        <f aca="false">E43*Aannames!$B$8</f>
        <v>63</v>
      </c>
      <c r="G43" s="23" t="n">
        <f aca="false">CohortBear!AK$38</f>
        <v>197.0784</v>
      </c>
      <c r="H43" s="22" t="n">
        <f aca="false">G43*Aannames!$B$9</f>
        <v>1.970784</v>
      </c>
      <c r="I43" s="24" t="n">
        <f aca="false">H43*Aannames!$B$10*(1-Aannames!$B$11)</f>
        <v>7.521497136</v>
      </c>
      <c r="J43" s="25" t="n">
        <f aca="false">MIN(J42*(1-Aannames!$B$18)+IF(A43&gt;=Aannames!$B$14,Aannames!$B$15*Aannames!$B$16,0),(Aannames!$B$19+IF(A43&gt;=Aannames!$B$24,Aannames!$B$25,0))*Aannames!$B$20)</f>
        <v>10.9752928523232</v>
      </c>
      <c r="K43" s="24" t="n">
        <f aca="false">J43*Aannames!$B$17</f>
        <v>428.036421240605</v>
      </c>
      <c r="L43" s="24" t="n">
        <f aca="false">IF(AND(A43&gt;12,MOD(A43-1,12)=0),Aannames!$B$37,0)</f>
        <v>0</v>
      </c>
      <c r="M43" s="24" t="n">
        <f aca="false">I43+K43+L43</f>
        <v>435.557918376605</v>
      </c>
      <c r="N43" s="24" t="n">
        <f aca="false">Aannames!$B$28+G43*Aannames!$B$29</f>
        <v>63.941568</v>
      </c>
      <c r="O43" s="24" t="n">
        <f aca="false">Aannames!$B$30*(1+IF(A43&gt;=Aannames!$B$24,1,0))</f>
        <v>80</v>
      </c>
      <c r="P43" s="24" t="n">
        <f aca="false">Aannames!$B$31</f>
        <v>70</v>
      </c>
      <c r="Q43" s="24" t="n">
        <f aca="false">IF(MOD(A43-1,12)=0,Aannames!$B$32,0)</f>
        <v>0</v>
      </c>
      <c r="R43" s="24" t="n">
        <f aca="false">Aannames!$B$33+IF(MOD(A43-1,12)=0,Aannames!$B$34,0)</f>
        <v>50</v>
      </c>
      <c r="S43" s="24" t="n">
        <f aca="false">IF(A43=1,Aannames!$B$35,0)</f>
        <v>0</v>
      </c>
      <c r="T43" s="24" t="n">
        <f aca="false">SUM(N43:S43)</f>
        <v>263.941568</v>
      </c>
      <c r="U43" s="24" t="n">
        <f aca="false">M43-T43</f>
        <v>171.616350376605</v>
      </c>
      <c r="V43" s="24" t="n">
        <f aca="false">V42+U43</f>
        <v>-3408.7423877165</v>
      </c>
    </row>
    <row r="45" customFormat="false" ht="15" hidden="false" customHeight="false" outlineLevel="0" collapsed="false">
      <c r="A45" s="26" t="s">
        <v>152</v>
      </c>
    </row>
    <row r="46" customFormat="false" ht="15" hidden="false" customHeight="false" outlineLevel="0" collapsed="false">
      <c r="A46" s="13" t="s">
        <v>153</v>
      </c>
      <c r="C46" s="22" t="n">
        <f aca="false">G19</f>
        <v>143.271</v>
      </c>
    </row>
    <row r="47" customFormat="false" ht="15" hidden="false" customHeight="false" outlineLevel="0" collapsed="false">
      <c r="A47" s="13" t="s">
        <v>154</v>
      </c>
      <c r="C47" s="22" t="n">
        <f aca="false">G31</f>
        <v>174.0564</v>
      </c>
    </row>
    <row r="48" customFormat="false" ht="15" hidden="false" customHeight="false" outlineLevel="0" collapsed="false">
      <c r="A48" s="13" t="s">
        <v>155</v>
      </c>
      <c r="C48" s="22" t="n">
        <f aca="false">G43</f>
        <v>197.0784</v>
      </c>
    </row>
    <row r="49" customFormat="false" ht="15" hidden="false" customHeight="false" outlineLevel="0" collapsed="false">
      <c r="A49" s="13" t="s">
        <v>156</v>
      </c>
      <c r="C49" s="25" t="n">
        <f aca="false">J43</f>
        <v>10.9752928523232</v>
      </c>
    </row>
    <row r="50" customFormat="false" ht="15" hidden="false" customHeight="false" outlineLevel="0" collapsed="false">
      <c r="A50" s="13" t="s">
        <v>157</v>
      </c>
      <c r="C50" s="24" t="n">
        <f aca="false">K43+I43</f>
        <v>435.557918376605</v>
      </c>
    </row>
    <row r="51" customFormat="false" ht="15" hidden="false" customHeight="false" outlineLevel="0" collapsed="false">
      <c r="A51" s="13" t="s">
        <v>158</v>
      </c>
      <c r="C51" s="24" t="n">
        <f aca="false">SUM(M32:M43)</f>
        <v>4669.6059326987</v>
      </c>
    </row>
    <row r="52" customFormat="false" ht="15" hidden="false" customHeight="false" outlineLevel="0" collapsed="false">
      <c r="A52" s="13" t="s">
        <v>159</v>
      </c>
      <c r="C52" s="27" t="n">
        <f aca="false">IF(G43=0,0,M43/G43)</f>
        <v>2.21007435810624</v>
      </c>
    </row>
    <row r="53" customFormat="false" ht="15" hidden="false" customHeight="false" outlineLevel="0" collapsed="false">
      <c r="A53" s="13" t="s">
        <v>160</v>
      </c>
      <c r="C53" s="27" t="n">
        <f aca="false">Retentie!$B$38*Aannames!$B$9*Aannames!$B$10*(1-Aannames!$B$11)</f>
        <v>0.11411335</v>
      </c>
    </row>
    <row r="54" customFormat="false" ht="15" hidden="false" customHeight="false" outlineLevel="0" collapsed="false">
      <c r="A54" s="13" t="s">
        <v>161</v>
      </c>
      <c r="C54" s="27" t="n">
        <f aca="false">SUM(R8:R43)/SUM(F8:F43)</f>
        <v>1.06685633001422</v>
      </c>
    </row>
    <row r="55" customFormat="false" ht="15" hidden="false" customHeight="false" outlineLevel="0" collapsed="false">
      <c r="A55" s="13" t="s">
        <v>162</v>
      </c>
      <c r="C55" s="28" t="n">
        <f aca="false">IF(C54=0,0,C53/C54)</f>
        <v>0.106962246733333</v>
      </c>
    </row>
    <row r="56" customFormat="false" ht="15" hidden="false" customHeight="false" outlineLevel="0" collapsed="false">
      <c r="A56" s="13" t="s">
        <v>163</v>
      </c>
      <c r="C56" s="24" t="n">
        <f aca="false">Aannames!$B$17*Aannames!$B$22/Aannames!$B$18</f>
        <v>717.6</v>
      </c>
    </row>
    <row r="57" customFormat="false" ht="15" hidden="false" customHeight="false" outlineLevel="0" collapsed="false">
      <c r="A57" s="13" t="s">
        <v>164</v>
      </c>
      <c r="C57" s="24" t="n">
        <f aca="false">Aannames!$B$21</f>
        <v>150</v>
      </c>
    </row>
    <row r="58" customFormat="false" ht="15" hidden="false" customHeight="false" outlineLevel="0" collapsed="false">
      <c r="A58" s="13" t="s">
        <v>165</v>
      </c>
      <c r="C58" s="25" t="n">
        <f aca="false">IF(C57=0,0,C56/C57)</f>
        <v>4.784</v>
      </c>
    </row>
    <row r="59" customFormat="false" ht="15" hidden="false" customHeight="false" outlineLevel="0" collapsed="false">
      <c r="A59" s="13" t="s">
        <v>166</v>
      </c>
      <c r="C59" s="25" t="n">
        <f aca="false">Aannames!$B$21/(Aannames!$B$17*Aannames!$B$22)</f>
        <v>4.18060200668896</v>
      </c>
    </row>
    <row r="60" customFormat="false" ht="15" hidden="false" customHeight="false" outlineLevel="0" collapsed="false">
      <c r="A60" s="13" t="s">
        <v>167</v>
      </c>
      <c r="C60" s="24" t="n">
        <f aca="false">-MIN(V8:V43)</f>
        <v>4840.80125401629</v>
      </c>
    </row>
    <row r="61" customFormat="false" ht="15" hidden="false" customHeight="false" outlineLevel="0" collapsed="false">
      <c r="A61" s="13" t="s">
        <v>168</v>
      </c>
      <c r="C61" s="24" t="n">
        <f aca="false">V43</f>
        <v>-3408.7423877165</v>
      </c>
    </row>
    <row r="62" customFormat="false" ht="15" hidden="false" customHeight="false" outlineLevel="0" collapsed="false">
      <c r="A62" s="13" t="s">
        <v>169</v>
      </c>
      <c r="C62" s="7" t="str">
        <f aca="false">IF(V43&lt;0,"niet in 36 mnd",SUMPRODUCT(--($V$8:$V$43&lt;0))+1)</f>
        <v>niet in 36 mnd</v>
      </c>
      <c r="E62" s="2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7" min="2" style="0" width="8"/>
  </cols>
  <sheetData>
    <row r="1" customFormat="false" ht="15" hidden="false" customHeight="false" outlineLevel="0" collapsed="false">
      <c r="A1" s="5" t="s">
        <v>171</v>
      </c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  <c r="N1" s="11" t="n">
        <v>13</v>
      </c>
      <c r="O1" s="11" t="n">
        <v>14</v>
      </c>
      <c r="P1" s="11" t="n">
        <v>15</v>
      </c>
      <c r="Q1" s="11" t="n">
        <v>16</v>
      </c>
      <c r="R1" s="11" t="n">
        <v>17</v>
      </c>
      <c r="S1" s="11" t="n">
        <v>18</v>
      </c>
      <c r="T1" s="11" t="n">
        <v>19</v>
      </c>
      <c r="U1" s="11" t="n">
        <v>20</v>
      </c>
      <c r="V1" s="11" t="n">
        <v>21</v>
      </c>
      <c r="W1" s="11" t="n">
        <v>22</v>
      </c>
      <c r="X1" s="11" t="n">
        <v>23</v>
      </c>
      <c r="Y1" s="11" t="n">
        <v>24</v>
      </c>
      <c r="Z1" s="11" t="n">
        <v>25</v>
      </c>
      <c r="AA1" s="11" t="n">
        <v>26</v>
      </c>
      <c r="AB1" s="11" t="n">
        <v>27</v>
      </c>
      <c r="AC1" s="11" t="n">
        <v>28</v>
      </c>
      <c r="AD1" s="11" t="n">
        <v>29</v>
      </c>
      <c r="AE1" s="11" t="n">
        <v>30</v>
      </c>
      <c r="AF1" s="11" t="n">
        <v>31</v>
      </c>
      <c r="AG1" s="11" t="n">
        <v>32</v>
      </c>
      <c r="AH1" s="11" t="n">
        <v>33</v>
      </c>
      <c r="AI1" s="11" t="n">
        <v>34</v>
      </c>
      <c r="AJ1" s="11" t="n">
        <v>35</v>
      </c>
      <c r="AK1" s="11" t="n">
        <v>36</v>
      </c>
    </row>
    <row r="2" customFormat="false" ht="15" hidden="false" customHeight="false" outlineLevel="0" collapsed="false">
      <c r="A2" s="5" t="n">
        <v>1</v>
      </c>
      <c r="B2" s="23" t="n">
        <f aca="false">ModelBear!$F$8*Retentie!$B$2</f>
        <v>225</v>
      </c>
      <c r="C2" s="23" t="n">
        <f aca="false">ModelBear!$F$8*Retentie!$B$3</f>
        <v>63</v>
      </c>
      <c r="D2" s="23" t="n">
        <f aca="false">ModelBear!$F$8*Retentie!$B$4</f>
        <v>40.5</v>
      </c>
      <c r="E2" s="23" t="n">
        <f aca="false">ModelBear!$F$8*Retentie!$B$5</f>
        <v>29.25</v>
      </c>
      <c r="F2" s="23" t="n">
        <f aca="false">ModelBear!$F$8*Retentie!$B$6</f>
        <v>22.5</v>
      </c>
      <c r="G2" s="23" t="n">
        <f aca="false">ModelBear!$F$8*Retentie!$B$7</f>
        <v>19.125</v>
      </c>
      <c r="H2" s="23" t="n">
        <f aca="false">ModelBear!$F$8*Retentie!$B$8</f>
        <v>16.875</v>
      </c>
      <c r="I2" s="23" t="n">
        <f aca="false">ModelBear!$F$8*Retentie!$B$9</f>
        <v>15.3</v>
      </c>
      <c r="J2" s="23" t="n">
        <f aca="false">ModelBear!$F$8*Retentie!$B$10</f>
        <v>13.95</v>
      </c>
      <c r="K2" s="23" t="n">
        <f aca="false">ModelBear!$F$8*Retentie!$B$11</f>
        <v>13.05</v>
      </c>
      <c r="L2" s="23" t="n">
        <f aca="false">ModelBear!$F$8*Retentie!$B$12</f>
        <v>12.15</v>
      </c>
      <c r="M2" s="23" t="n">
        <f aca="false">ModelBear!$F$8*Retentie!$B$13</f>
        <v>11.475</v>
      </c>
      <c r="N2" s="23" t="n">
        <f aca="false">ModelBear!$F$8*Retentie!$B$14</f>
        <v>10.8</v>
      </c>
      <c r="O2" s="23" t="n">
        <f aca="false">ModelBear!$F$8*Retentie!$B$15</f>
        <v>10.35</v>
      </c>
      <c r="P2" s="23" t="n">
        <f aca="false">ModelBear!$F$8*Retentie!$B$16</f>
        <v>9.9</v>
      </c>
      <c r="Q2" s="23" t="n">
        <f aca="false">ModelBear!$F$8*Retentie!$B$17</f>
        <v>9.675</v>
      </c>
      <c r="R2" s="23" t="n">
        <f aca="false">ModelBear!$F$8*Retentie!$B$18</f>
        <v>9.45</v>
      </c>
      <c r="S2" s="23" t="n">
        <f aca="false">ModelBear!$F$8*Retentie!$B$19</f>
        <v>9.225</v>
      </c>
      <c r="T2" s="23" t="n">
        <f aca="false">ModelBear!$F$8*Retentie!$B$20</f>
        <v>9</v>
      </c>
      <c r="U2" s="23" t="n">
        <f aca="false">ModelBear!$F$8*Retentie!$B$21</f>
        <v>8.775</v>
      </c>
      <c r="V2" s="23" t="n">
        <f aca="false">ModelBear!$F$8*Retentie!$B$22</f>
        <v>8.55</v>
      </c>
      <c r="W2" s="23" t="n">
        <f aca="false">ModelBear!$F$8*Retentie!$B$23</f>
        <v>8.325</v>
      </c>
      <c r="X2" s="23" t="n">
        <f aca="false">ModelBear!$F$8*Retentie!$B$24</f>
        <v>8.1</v>
      </c>
      <c r="Y2" s="23" t="n">
        <f aca="false">ModelBear!$F$8*Retentie!$B$25</f>
        <v>7.875</v>
      </c>
      <c r="Z2" s="23" t="n">
        <f aca="false">ModelBear!$F$8*Retentie!$B$26</f>
        <v>7.65</v>
      </c>
      <c r="AA2" s="23" t="n">
        <f aca="false">ModelBear!$F$8*Retentie!$B$27</f>
        <v>7.425</v>
      </c>
      <c r="AB2" s="23" t="n">
        <f aca="false">ModelBear!$F$8*Retentie!$B$28</f>
        <v>7.2</v>
      </c>
      <c r="AC2" s="23" t="n">
        <f aca="false">ModelBear!$F$8*Retentie!$B$29</f>
        <v>6.975</v>
      </c>
      <c r="AD2" s="23" t="n">
        <f aca="false">ModelBear!$F$8*Retentie!$B$30</f>
        <v>6.75</v>
      </c>
      <c r="AE2" s="23" t="n">
        <f aca="false">ModelBear!$F$8*Retentie!$B$31</f>
        <v>6.75</v>
      </c>
      <c r="AF2" s="23" t="n">
        <f aca="false">ModelBear!$F$8*Retentie!$B$32</f>
        <v>6.525</v>
      </c>
      <c r="AG2" s="23" t="n">
        <f aca="false">ModelBear!$F$8*Retentie!$B$33</f>
        <v>6.525</v>
      </c>
      <c r="AH2" s="23" t="n">
        <f aca="false">ModelBear!$F$8*Retentie!$B$34</f>
        <v>6.3</v>
      </c>
      <c r="AI2" s="23" t="n">
        <f aca="false">ModelBear!$F$8*Retentie!$B$35</f>
        <v>6.3</v>
      </c>
      <c r="AJ2" s="23" t="n">
        <f aca="false">ModelBear!$F$8*Retentie!$B$36</f>
        <v>6.075</v>
      </c>
      <c r="AK2" s="23" t="n">
        <f aca="false">ModelBear!$F$8*Retentie!$B$37</f>
        <v>6.075</v>
      </c>
    </row>
    <row r="3" customFormat="false" ht="15" hidden="false" customHeight="false" outlineLevel="0" collapsed="false">
      <c r="A3" s="5" t="n">
        <v>2</v>
      </c>
      <c r="C3" s="23" t="n">
        <f aca="false">ModelBear!$F$9*Retentie!$B$2</f>
        <v>63</v>
      </c>
      <c r="D3" s="23" t="n">
        <f aca="false">ModelBear!$F$9*Retentie!$B$3</f>
        <v>17.64</v>
      </c>
      <c r="E3" s="23" t="n">
        <f aca="false">ModelBear!$F$9*Retentie!$B$4</f>
        <v>11.34</v>
      </c>
      <c r="F3" s="23" t="n">
        <f aca="false">ModelBear!$F$9*Retentie!$B$5</f>
        <v>8.19</v>
      </c>
      <c r="G3" s="23" t="n">
        <f aca="false">ModelBear!$F$9*Retentie!$B$6</f>
        <v>6.3</v>
      </c>
      <c r="H3" s="23" t="n">
        <f aca="false">ModelBear!$F$9*Retentie!$B$7</f>
        <v>5.355</v>
      </c>
      <c r="I3" s="23" t="n">
        <f aca="false">ModelBear!$F$9*Retentie!$B$8</f>
        <v>4.725</v>
      </c>
      <c r="J3" s="23" t="n">
        <f aca="false">ModelBear!$F$9*Retentie!$B$9</f>
        <v>4.284</v>
      </c>
      <c r="K3" s="23" t="n">
        <f aca="false">ModelBear!$F$9*Retentie!$B$10</f>
        <v>3.906</v>
      </c>
      <c r="L3" s="23" t="n">
        <f aca="false">ModelBear!$F$9*Retentie!$B$11</f>
        <v>3.654</v>
      </c>
      <c r="M3" s="23" t="n">
        <f aca="false">ModelBear!$F$9*Retentie!$B$12</f>
        <v>3.402</v>
      </c>
      <c r="N3" s="23" t="n">
        <f aca="false">ModelBear!$F$9*Retentie!$B$13</f>
        <v>3.213</v>
      </c>
      <c r="O3" s="23" t="n">
        <f aca="false">ModelBear!$F$9*Retentie!$B$14</f>
        <v>3.024</v>
      </c>
      <c r="P3" s="23" t="n">
        <f aca="false">ModelBear!$F$9*Retentie!$B$15</f>
        <v>2.898</v>
      </c>
      <c r="Q3" s="23" t="n">
        <f aca="false">ModelBear!$F$9*Retentie!$B$16</f>
        <v>2.772</v>
      </c>
      <c r="R3" s="23" t="n">
        <f aca="false">ModelBear!$F$9*Retentie!$B$17</f>
        <v>2.709</v>
      </c>
      <c r="S3" s="23" t="n">
        <f aca="false">ModelBear!$F$9*Retentie!$B$18</f>
        <v>2.646</v>
      </c>
      <c r="T3" s="23" t="n">
        <f aca="false">ModelBear!$F$9*Retentie!$B$19</f>
        <v>2.583</v>
      </c>
      <c r="U3" s="23" t="n">
        <f aca="false">ModelBear!$F$9*Retentie!$B$20</f>
        <v>2.52</v>
      </c>
      <c r="V3" s="23" t="n">
        <f aca="false">ModelBear!$F$9*Retentie!$B$21</f>
        <v>2.457</v>
      </c>
      <c r="W3" s="23" t="n">
        <f aca="false">ModelBear!$F$9*Retentie!$B$22</f>
        <v>2.394</v>
      </c>
      <c r="X3" s="23" t="n">
        <f aca="false">ModelBear!$F$9*Retentie!$B$23</f>
        <v>2.331</v>
      </c>
      <c r="Y3" s="23" t="n">
        <f aca="false">ModelBear!$F$9*Retentie!$B$24</f>
        <v>2.268</v>
      </c>
      <c r="Z3" s="23" t="n">
        <f aca="false">ModelBear!$F$9*Retentie!$B$25</f>
        <v>2.205</v>
      </c>
      <c r="AA3" s="23" t="n">
        <f aca="false">ModelBear!$F$9*Retentie!$B$26</f>
        <v>2.142</v>
      </c>
      <c r="AB3" s="23" t="n">
        <f aca="false">ModelBear!$F$9*Retentie!$B$27</f>
        <v>2.079</v>
      </c>
      <c r="AC3" s="23" t="n">
        <f aca="false">ModelBear!$F$9*Retentie!$B$28</f>
        <v>2.016</v>
      </c>
      <c r="AD3" s="23" t="n">
        <f aca="false">ModelBear!$F$9*Retentie!$B$29</f>
        <v>1.953</v>
      </c>
      <c r="AE3" s="23" t="n">
        <f aca="false">ModelBear!$F$9*Retentie!$B$30</f>
        <v>1.89</v>
      </c>
      <c r="AF3" s="23" t="n">
        <f aca="false">ModelBear!$F$9*Retentie!$B$31</f>
        <v>1.89</v>
      </c>
      <c r="AG3" s="23" t="n">
        <f aca="false">ModelBear!$F$9*Retentie!$B$32</f>
        <v>1.827</v>
      </c>
      <c r="AH3" s="23" t="n">
        <f aca="false">ModelBear!$F$9*Retentie!$B$33</f>
        <v>1.827</v>
      </c>
      <c r="AI3" s="23" t="n">
        <f aca="false">ModelBear!$F$9*Retentie!$B$34</f>
        <v>1.764</v>
      </c>
      <c r="AJ3" s="23" t="n">
        <f aca="false">ModelBear!$F$9*Retentie!$B$35</f>
        <v>1.764</v>
      </c>
      <c r="AK3" s="23" t="n">
        <f aca="false">ModelBear!$F$9*Retentie!$B$36</f>
        <v>1.701</v>
      </c>
    </row>
    <row r="4" customFormat="false" ht="15" hidden="false" customHeight="false" outlineLevel="0" collapsed="false">
      <c r="A4" s="5" t="n">
        <v>3</v>
      </c>
      <c r="D4" s="23" t="n">
        <f aca="false">ModelBear!$F$10*Retentie!$B$2</f>
        <v>63</v>
      </c>
      <c r="E4" s="23" t="n">
        <f aca="false">ModelBear!$F$10*Retentie!$B$3</f>
        <v>17.64</v>
      </c>
      <c r="F4" s="23" t="n">
        <f aca="false">ModelBear!$F$10*Retentie!$B$4</f>
        <v>11.34</v>
      </c>
      <c r="G4" s="23" t="n">
        <f aca="false">ModelBear!$F$10*Retentie!$B$5</f>
        <v>8.19</v>
      </c>
      <c r="H4" s="23" t="n">
        <f aca="false">ModelBear!$F$10*Retentie!$B$6</f>
        <v>6.3</v>
      </c>
      <c r="I4" s="23" t="n">
        <f aca="false">ModelBear!$F$10*Retentie!$B$7</f>
        <v>5.355</v>
      </c>
      <c r="J4" s="23" t="n">
        <f aca="false">ModelBear!$F$10*Retentie!$B$8</f>
        <v>4.725</v>
      </c>
      <c r="K4" s="23" t="n">
        <f aca="false">ModelBear!$F$10*Retentie!$B$9</f>
        <v>4.284</v>
      </c>
      <c r="L4" s="23" t="n">
        <f aca="false">ModelBear!$F$10*Retentie!$B$10</f>
        <v>3.906</v>
      </c>
      <c r="M4" s="23" t="n">
        <f aca="false">ModelBear!$F$10*Retentie!$B$11</f>
        <v>3.654</v>
      </c>
      <c r="N4" s="23" t="n">
        <f aca="false">ModelBear!$F$10*Retentie!$B$12</f>
        <v>3.402</v>
      </c>
      <c r="O4" s="23" t="n">
        <f aca="false">ModelBear!$F$10*Retentie!$B$13</f>
        <v>3.213</v>
      </c>
      <c r="P4" s="23" t="n">
        <f aca="false">ModelBear!$F$10*Retentie!$B$14</f>
        <v>3.024</v>
      </c>
      <c r="Q4" s="23" t="n">
        <f aca="false">ModelBear!$F$10*Retentie!$B$15</f>
        <v>2.898</v>
      </c>
      <c r="R4" s="23" t="n">
        <f aca="false">ModelBear!$F$10*Retentie!$B$16</f>
        <v>2.772</v>
      </c>
      <c r="S4" s="23" t="n">
        <f aca="false">ModelBear!$F$10*Retentie!$B$17</f>
        <v>2.709</v>
      </c>
      <c r="T4" s="23" t="n">
        <f aca="false">ModelBear!$F$10*Retentie!$B$18</f>
        <v>2.646</v>
      </c>
      <c r="U4" s="23" t="n">
        <f aca="false">ModelBear!$F$10*Retentie!$B$19</f>
        <v>2.583</v>
      </c>
      <c r="V4" s="23" t="n">
        <f aca="false">ModelBear!$F$10*Retentie!$B$20</f>
        <v>2.52</v>
      </c>
      <c r="W4" s="23" t="n">
        <f aca="false">ModelBear!$F$10*Retentie!$B$21</f>
        <v>2.457</v>
      </c>
      <c r="X4" s="23" t="n">
        <f aca="false">ModelBear!$F$10*Retentie!$B$22</f>
        <v>2.394</v>
      </c>
      <c r="Y4" s="23" t="n">
        <f aca="false">ModelBear!$F$10*Retentie!$B$23</f>
        <v>2.331</v>
      </c>
      <c r="Z4" s="23" t="n">
        <f aca="false">ModelBear!$F$10*Retentie!$B$24</f>
        <v>2.268</v>
      </c>
      <c r="AA4" s="23" t="n">
        <f aca="false">ModelBear!$F$10*Retentie!$B$25</f>
        <v>2.205</v>
      </c>
      <c r="AB4" s="23" t="n">
        <f aca="false">ModelBear!$F$10*Retentie!$B$26</f>
        <v>2.142</v>
      </c>
      <c r="AC4" s="23" t="n">
        <f aca="false">ModelBear!$F$10*Retentie!$B$27</f>
        <v>2.079</v>
      </c>
      <c r="AD4" s="23" t="n">
        <f aca="false">ModelBear!$F$10*Retentie!$B$28</f>
        <v>2.016</v>
      </c>
      <c r="AE4" s="23" t="n">
        <f aca="false">ModelBear!$F$10*Retentie!$B$29</f>
        <v>1.953</v>
      </c>
      <c r="AF4" s="23" t="n">
        <f aca="false">ModelBear!$F$10*Retentie!$B$30</f>
        <v>1.89</v>
      </c>
      <c r="AG4" s="23" t="n">
        <f aca="false">ModelBear!$F$10*Retentie!$B$31</f>
        <v>1.89</v>
      </c>
      <c r="AH4" s="23" t="n">
        <f aca="false">ModelBear!$F$10*Retentie!$B$32</f>
        <v>1.827</v>
      </c>
      <c r="AI4" s="23" t="n">
        <f aca="false">ModelBear!$F$10*Retentie!$B$33</f>
        <v>1.827</v>
      </c>
      <c r="AJ4" s="23" t="n">
        <f aca="false">ModelBear!$F$10*Retentie!$B$34</f>
        <v>1.764</v>
      </c>
      <c r="AK4" s="23" t="n">
        <f aca="false">ModelBear!$F$10*Retentie!$B$35</f>
        <v>1.764</v>
      </c>
    </row>
    <row r="5" customFormat="false" ht="15" hidden="false" customHeight="false" outlineLevel="0" collapsed="false">
      <c r="A5" s="5" t="n">
        <v>4</v>
      </c>
      <c r="E5" s="23" t="n">
        <f aca="false">ModelBear!$F$11*Retentie!$B$2</f>
        <v>63</v>
      </c>
      <c r="F5" s="23" t="n">
        <f aca="false">ModelBear!$F$11*Retentie!$B$3</f>
        <v>17.64</v>
      </c>
      <c r="G5" s="23" t="n">
        <f aca="false">ModelBear!$F$11*Retentie!$B$4</f>
        <v>11.34</v>
      </c>
      <c r="H5" s="23" t="n">
        <f aca="false">ModelBear!$F$11*Retentie!$B$5</f>
        <v>8.19</v>
      </c>
      <c r="I5" s="23" t="n">
        <f aca="false">ModelBear!$F$11*Retentie!$B$6</f>
        <v>6.3</v>
      </c>
      <c r="J5" s="23" t="n">
        <f aca="false">ModelBear!$F$11*Retentie!$B$7</f>
        <v>5.355</v>
      </c>
      <c r="K5" s="23" t="n">
        <f aca="false">ModelBear!$F$11*Retentie!$B$8</f>
        <v>4.725</v>
      </c>
      <c r="L5" s="23" t="n">
        <f aca="false">ModelBear!$F$11*Retentie!$B$9</f>
        <v>4.284</v>
      </c>
      <c r="M5" s="23" t="n">
        <f aca="false">ModelBear!$F$11*Retentie!$B$10</f>
        <v>3.906</v>
      </c>
      <c r="N5" s="23" t="n">
        <f aca="false">ModelBear!$F$11*Retentie!$B$11</f>
        <v>3.654</v>
      </c>
      <c r="O5" s="23" t="n">
        <f aca="false">ModelBear!$F$11*Retentie!$B$12</f>
        <v>3.402</v>
      </c>
      <c r="P5" s="23" t="n">
        <f aca="false">ModelBear!$F$11*Retentie!$B$13</f>
        <v>3.213</v>
      </c>
      <c r="Q5" s="23" t="n">
        <f aca="false">ModelBear!$F$11*Retentie!$B$14</f>
        <v>3.024</v>
      </c>
      <c r="R5" s="23" t="n">
        <f aca="false">ModelBear!$F$11*Retentie!$B$15</f>
        <v>2.898</v>
      </c>
      <c r="S5" s="23" t="n">
        <f aca="false">ModelBear!$F$11*Retentie!$B$16</f>
        <v>2.772</v>
      </c>
      <c r="T5" s="23" t="n">
        <f aca="false">ModelBear!$F$11*Retentie!$B$17</f>
        <v>2.709</v>
      </c>
      <c r="U5" s="23" t="n">
        <f aca="false">ModelBear!$F$11*Retentie!$B$18</f>
        <v>2.646</v>
      </c>
      <c r="V5" s="23" t="n">
        <f aca="false">ModelBear!$F$11*Retentie!$B$19</f>
        <v>2.583</v>
      </c>
      <c r="W5" s="23" t="n">
        <f aca="false">ModelBear!$F$11*Retentie!$B$20</f>
        <v>2.52</v>
      </c>
      <c r="X5" s="23" t="n">
        <f aca="false">ModelBear!$F$11*Retentie!$B$21</f>
        <v>2.457</v>
      </c>
      <c r="Y5" s="23" t="n">
        <f aca="false">ModelBear!$F$11*Retentie!$B$22</f>
        <v>2.394</v>
      </c>
      <c r="Z5" s="23" t="n">
        <f aca="false">ModelBear!$F$11*Retentie!$B$23</f>
        <v>2.331</v>
      </c>
      <c r="AA5" s="23" t="n">
        <f aca="false">ModelBear!$F$11*Retentie!$B$24</f>
        <v>2.268</v>
      </c>
      <c r="AB5" s="23" t="n">
        <f aca="false">ModelBear!$F$11*Retentie!$B$25</f>
        <v>2.205</v>
      </c>
      <c r="AC5" s="23" t="n">
        <f aca="false">ModelBear!$F$11*Retentie!$B$26</f>
        <v>2.142</v>
      </c>
      <c r="AD5" s="23" t="n">
        <f aca="false">ModelBear!$F$11*Retentie!$B$27</f>
        <v>2.079</v>
      </c>
      <c r="AE5" s="23" t="n">
        <f aca="false">ModelBear!$F$11*Retentie!$B$28</f>
        <v>2.016</v>
      </c>
      <c r="AF5" s="23" t="n">
        <f aca="false">ModelBear!$F$11*Retentie!$B$29</f>
        <v>1.953</v>
      </c>
      <c r="AG5" s="23" t="n">
        <f aca="false">ModelBear!$F$11*Retentie!$B$30</f>
        <v>1.89</v>
      </c>
      <c r="AH5" s="23" t="n">
        <f aca="false">ModelBear!$F$11*Retentie!$B$31</f>
        <v>1.89</v>
      </c>
      <c r="AI5" s="23" t="n">
        <f aca="false">ModelBear!$F$11*Retentie!$B$32</f>
        <v>1.827</v>
      </c>
      <c r="AJ5" s="23" t="n">
        <f aca="false">ModelBear!$F$11*Retentie!$B$33</f>
        <v>1.827</v>
      </c>
      <c r="AK5" s="23" t="n">
        <f aca="false">ModelBear!$F$11*Retentie!$B$34</f>
        <v>1.764</v>
      </c>
    </row>
    <row r="6" customFormat="false" ht="15" hidden="false" customHeight="false" outlineLevel="0" collapsed="false">
      <c r="A6" s="5" t="n">
        <v>5</v>
      </c>
      <c r="F6" s="23" t="n">
        <f aca="false">ModelBear!$F$12*Retentie!$B$2</f>
        <v>63</v>
      </c>
      <c r="G6" s="23" t="n">
        <f aca="false">ModelBear!$F$12*Retentie!$B$3</f>
        <v>17.64</v>
      </c>
      <c r="H6" s="23" t="n">
        <f aca="false">ModelBear!$F$12*Retentie!$B$4</f>
        <v>11.34</v>
      </c>
      <c r="I6" s="23" t="n">
        <f aca="false">ModelBear!$F$12*Retentie!$B$5</f>
        <v>8.19</v>
      </c>
      <c r="J6" s="23" t="n">
        <f aca="false">ModelBear!$F$12*Retentie!$B$6</f>
        <v>6.3</v>
      </c>
      <c r="K6" s="23" t="n">
        <f aca="false">ModelBear!$F$12*Retentie!$B$7</f>
        <v>5.355</v>
      </c>
      <c r="L6" s="23" t="n">
        <f aca="false">ModelBear!$F$12*Retentie!$B$8</f>
        <v>4.725</v>
      </c>
      <c r="M6" s="23" t="n">
        <f aca="false">ModelBear!$F$12*Retentie!$B$9</f>
        <v>4.284</v>
      </c>
      <c r="N6" s="23" t="n">
        <f aca="false">ModelBear!$F$12*Retentie!$B$10</f>
        <v>3.906</v>
      </c>
      <c r="O6" s="23" t="n">
        <f aca="false">ModelBear!$F$12*Retentie!$B$11</f>
        <v>3.654</v>
      </c>
      <c r="P6" s="23" t="n">
        <f aca="false">ModelBear!$F$12*Retentie!$B$12</f>
        <v>3.402</v>
      </c>
      <c r="Q6" s="23" t="n">
        <f aca="false">ModelBear!$F$12*Retentie!$B$13</f>
        <v>3.213</v>
      </c>
      <c r="R6" s="23" t="n">
        <f aca="false">ModelBear!$F$12*Retentie!$B$14</f>
        <v>3.024</v>
      </c>
      <c r="S6" s="23" t="n">
        <f aca="false">ModelBear!$F$12*Retentie!$B$15</f>
        <v>2.898</v>
      </c>
      <c r="T6" s="23" t="n">
        <f aca="false">ModelBear!$F$12*Retentie!$B$16</f>
        <v>2.772</v>
      </c>
      <c r="U6" s="23" t="n">
        <f aca="false">ModelBear!$F$12*Retentie!$B$17</f>
        <v>2.709</v>
      </c>
      <c r="V6" s="23" t="n">
        <f aca="false">ModelBear!$F$12*Retentie!$B$18</f>
        <v>2.646</v>
      </c>
      <c r="W6" s="23" t="n">
        <f aca="false">ModelBear!$F$12*Retentie!$B$19</f>
        <v>2.583</v>
      </c>
      <c r="X6" s="23" t="n">
        <f aca="false">ModelBear!$F$12*Retentie!$B$20</f>
        <v>2.52</v>
      </c>
      <c r="Y6" s="23" t="n">
        <f aca="false">ModelBear!$F$12*Retentie!$B$21</f>
        <v>2.457</v>
      </c>
      <c r="Z6" s="23" t="n">
        <f aca="false">ModelBear!$F$12*Retentie!$B$22</f>
        <v>2.394</v>
      </c>
      <c r="AA6" s="23" t="n">
        <f aca="false">ModelBear!$F$12*Retentie!$B$23</f>
        <v>2.331</v>
      </c>
      <c r="AB6" s="23" t="n">
        <f aca="false">ModelBear!$F$12*Retentie!$B$24</f>
        <v>2.268</v>
      </c>
      <c r="AC6" s="23" t="n">
        <f aca="false">ModelBear!$F$12*Retentie!$B$25</f>
        <v>2.205</v>
      </c>
      <c r="AD6" s="23" t="n">
        <f aca="false">ModelBear!$F$12*Retentie!$B$26</f>
        <v>2.142</v>
      </c>
      <c r="AE6" s="23" t="n">
        <f aca="false">ModelBear!$F$12*Retentie!$B$27</f>
        <v>2.079</v>
      </c>
      <c r="AF6" s="23" t="n">
        <f aca="false">ModelBear!$F$12*Retentie!$B$28</f>
        <v>2.016</v>
      </c>
      <c r="AG6" s="23" t="n">
        <f aca="false">ModelBear!$F$12*Retentie!$B$29</f>
        <v>1.953</v>
      </c>
      <c r="AH6" s="23" t="n">
        <f aca="false">ModelBear!$F$12*Retentie!$B$30</f>
        <v>1.89</v>
      </c>
      <c r="AI6" s="23" t="n">
        <f aca="false">ModelBear!$F$12*Retentie!$B$31</f>
        <v>1.89</v>
      </c>
      <c r="AJ6" s="23" t="n">
        <f aca="false">ModelBear!$F$12*Retentie!$B$32</f>
        <v>1.827</v>
      </c>
      <c r="AK6" s="23" t="n">
        <f aca="false">ModelBear!$F$12*Retentie!$B$33</f>
        <v>1.827</v>
      </c>
    </row>
    <row r="7" customFormat="false" ht="15" hidden="false" customHeight="false" outlineLevel="0" collapsed="false">
      <c r="A7" s="5" t="n">
        <v>6</v>
      </c>
      <c r="G7" s="23" t="n">
        <f aca="false">ModelBear!$F$13*Retentie!$B$2</f>
        <v>63</v>
      </c>
      <c r="H7" s="23" t="n">
        <f aca="false">ModelBear!$F$13*Retentie!$B$3</f>
        <v>17.64</v>
      </c>
      <c r="I7" s="23" t="n">
        <f aca="false">ModelBear!$F$13*Retentie!$B$4</f>
        <v>11.34</v>
      </c>
      <c r="J7" s="23" t="n">
        <f aca="false">ModelBear!$F$13*Retentie!$B$5</f>
        <v>8.19</v>
      </c>
      <c r="K7" s="23" t="n">
        <f aca="false">ModelBear!$F$13*Retentie!$B$6</f>
        <v>6.3</v>
      </c>
      <c r="L7" s="23" t="n">
        <f aca="false">ModelBear!$F$13*Retentie!$B$7</f>
        <v>5.355</v>
      </c>
      <c r="M7" s="23" t="n">
        <f aca="false">ModelBear!$F$13*Retentie!$B$8</f>
        <v>4.725</v>
      </c>
      <c r="N7" s="23" t="n">
        <f aca="false">ModelBear!$F$13*Retentie!$B$9</f>
        <v>4.284</v>
      </c>
      <c r="O7" s="23" t="n">
        <f aca="false">ModelBear!$F$13*Retentie!$B$10</f>
        <v>3.906</v>
      </c>
      <c r="P7" s="23" t="n">
        <f aca="false">ModelBear!$F$13*Retentie!$B$11</f>
        <v>3.654</v>
      </c>
      <c r="Q7" s="23" t="n">
        <f aca="false">ModelBear!$F$13*Retentie!$B$12</f>
        <v>3.402</v>
      </c>
      <c r="R7" s="23" t="n">
        <f aca="false">ModelBear!$F$13*Retentie!$B$13</f>
        <v>3.213</v>
      </c>
      <c r="S7" s="23" t="n">
        <f aca="false">ModelBear!$F$13*Retentie!$B$14</f>
        <v>3.024</v>
      </c>
      <c r="T7" s="23" t="n">
        <f aca="false">ModelBear!$F$13*Retentie!$B$15</f>
        <v>2.898</v>
      </c>
      <c r="U7" s="23" t="n">
        <f aca="false">ModelBear!$F$13*Retentie!$B$16</f>
        <v>2.772</v>
      </c>
      <c r="V7" s="23" t="n">
        <f aca="false">ModelBear!$F$13*Retentie!$B$17</f>
        <v>2.709</v>
      </c>
      <c r="W7" s="23" t="n">
        <f aca="false">ModelBear!$F$13*Retentie!$B$18</f>
        <v>2.646</v>
      </c>
      <c r="X7" s="23" t="n">
        <f aca="false">ModelBear!$F$13*Retentie!$B$19</f>
        <v>2.583</v>
      </c>
      <c r="Y7" s="23" t="n">
        <f aca="false">ModelBear!$F$13*Retentie!$B$20</f>
        <v>2.52</v>
      </c>
      <c r="Z7" s="23" t="n">
        <f aca="false">ModelBear!$F$13*Retentie!$B$21</f>
        <v>2.457</v>
      </c>
      <c r="AA7" s="23" t="n">
        <f aca="false">ModelBear!$F$13*Retentie!$B$22</f>
        <v>2.394</v>
      </c>
      <c r="AB7" s="23" t="n">
        <f aca="false">ModelBear!$F$13*Retentie!$B$23</f>
        <v>2.331</v>
      </c>
      <c r="AC7" s="23" t="n">
        <f aca="false">ModelBear!$F$13*Retentie!$B$24</f>
        <v>2.268</v>
      </c>
      <c r="AD7" s="23" t="n">
        <f aca="false">ModelBear!$F$13*Retentie!$B$25</f>
        <v>2.205</v>
      </c>
      <c r="AE7" s="23" t="n">
        <f aca="false">ModelBear!$F$13*Retentie!$B$26</f>
        <v>2.142</v>
      </c>
      <c r="AF7" s="23" t="n">
        <f aca="false">ModelBear!$F$13*Retentie!$B$27</f>
        <v>2.079</v>
      </c>
      <c r="AG7" s="23" t="n">
        <f aca="false">ModelBear!$F$13*Retentie!$B$28</f>
        <v>2.016</v>
      </c>
      <c r="AH7" s="23" t="n">
        <f aca="false">ModelBear!$F$13*Retentie!$B$29</f>
        <v>1.953</v>
      </c>
      <c r="AI7" s="23" t="n">
        <f aca="false">ModelBear!$F$13*Retentie!$B$30</f>
        <v>1.89</v>
      </c>
      <c r="AJ7" s="23" t="n">
        <f aca="false">ModelBear!$F$13*Retentie!$B$31</f>
        <v>1.89</v>
      </c>
      <c r="AK7" s="23" t="n">
        <f aca="false">ModelBear!$F$13*Retentie!$B$32</f>
        <v>1.827</v>
      </c>
    </row>
    <row r="8" customFormat="false" ht="15" hidden="false" customHeight="false" outlineLevel="0" collapsed="false">
      <c r="A8" s="5" t="n">
        <v>7</v>
      </c>
      <c r="H8" s="23" t="n">
        <f aca="false">ModelBear!$F$14*Retentie!$B$2</f>
        <v>63</v>
      </c>
      <c r="I8" s="23" t="n">
        <f aca="false">ModelBear!$F$14*Retentie!$B$3</f>
        <v>17.64</v>
      </c>
      <c r="J8" s="23" t="n">
        <f aca="false">ModelBear!$F$14*Retentie!$B$4</f>
        <v>11.34</v>
      </c>
      <c r="K8" s="23" t="n">
        <f aca="false">ModelBear!$F$14*Retentie!$B$5</f>
        <v>8.19</v>
      </c>
      <c r="L8" s="23" t="n">
        <f aca="false">ModelBear!$F$14*Retentie!$B$6</f>
        <v>6.3</v>
      </c>
      <c r="M8" s="23" t="n">
        <f aca="false">ModelBear!$F$14*Retentie!$B$7</f>
        <v>5.355</v>
      </c>
      <c r="N8" s="23" t="n">
        <f aca="false">ModelBear!$F$14*Retentie!$B$8</f>
        <v>4.725</v>
      </c>
      <c r="O8" s="23" t="n">
        <f aca="false">ModelBear!$F$14*Retentie!$B$9</f>
        <v>4.284</v>
      </c>
      <c r="P8" s="23" t="n">
        <f aca="false">ModelBear!$F$14*Retentie!$B$10</f>
        <v>3.906</v>
      </c>
      <c r="Q8" s="23" t="n">
        <f aca="false">ModelBear!$F$14*Retentie!$B$11</f>
        <v>3.654</v>
      </c>
      <c r="R8" s="23" t="n">
        <f aca="false">ModelBear!$F$14*Retentie!$B$12</f>
        <v>3.402</v>
      </c>
      <c r="S8" s="23" t="n">
        <f aca="false">ModelBear!$F$14*Retentie!$B$13</f>
        <v>3.213</v>
      </c>
      <c r="T8" s="23" t="n">
        <f aca="false">ModelBear!$F$14*Retentie!$B$14</f>
        <v>3.024</v>
      </c>
      <c r="U8" s="23" t="n">
        <f aca="false">ModelBear!$F$14*Retentie!$B$15</f>
        <v>2.898</v>
      </c>
      <c r="V8" s="23" t="n">
        <f aca="false">ModelBear!$F$14*Retentie!$B$16</f>
        <v>2.772</v>
      </c>
      <c r="W8" s="23" t="n">
        <f aca="false">ModelBear!$F$14*Retentie!$B$17</f>
        <v>2.709</v>
      </c>
      <c r="X8" s="23" t="n">
        <f aca="false">ModelBear!$F$14*Retentie!$B$18</f>
        <v>2.646</v>
      </c>
      <c r="Y8" s="23" t="n">
        <f aca="false">ModelBear!$F$14*Retentie!$B$19</f>
        <v>2.583</v>
      </c>
      <c r="Z8" s="23" t="n">
        <f aca="false">ModelBear!$F$14*Retentie!$B$20</f>
        <v>2.52</v>
      </c>
      <c r="AA8" s="23" t="n">
        <f aca="false">ModelBear!$F$14*Retentie!$B$21</f>
        <v>2.457</v>
      </c>
      <c r="AB8" s="23" t="n">
        <f aca="false">ModelBear!$F$14*Retentie!$B$22</f>
        <v>2.394</v>
      </c>
      <c r="AC8" s="23" t="n">
        <f aca="false">ModelBear!$F$14*Retentie!$B$23</f>
        <v>2.331</v>
      </c>
      <c r="AD8" s="23" t="n">
        <f aca="false">ModelBear!$F$14*Retentie!$B$24</f>
        <v>2.268</v>
      </c>
      <c r="AE8" s="23" t="n">
        <f aca="false">ModelBear!$F$14*Retentie!$B$25</f>
        <v>2.205</v>
      </c>
      <c r="AF8" s="23" t="n">
        <f aca="false">ModelBear!$F$14*Retentie!$B$26</f>
        <v>2.142</v>
      </c>
      <c r="AG8" s="23" t="n">
        <f aca="false">ModelBear!$F$14*Retentie!$B$27</f>
        <v>2.079</v>
      </c>
      <c r="AH8" s="23" t="n">
        <f aca="false">ModelBear!$F$14*Retentie!$B$28</f>
        <v>2.016</v>
      </c>
      <c r="AI8" s="23" t="n">
        <f aca="false">ModelBear!$F$14*Retentie!$B$29</f>
        <v>1.953</v>
      </c>
      <c r="AJ8" s="23" t="n">
        <f aca="false">ModelBear!$F$14*Retentie!$B$30</f>
        <v>1.89</v>
      </c>
      <c r="AK8" s="23" t="n">
        <f aca="false">ModelBear!$F$14*Retentie!$B$31</f>
        <v>1.89</v>
      </c>
    </row>
    <row r="9" customFormat="false" ht="15" hidden="false" customHeight="false" outlineLevel="0" collapsed="false">
      <c r="A9" s="5" t="n">
        <v>8</v>
      </c>
      <c r="I9" s="23" t="n">
        <f aca="false">ModelBear!$F$15*Retentie!$B$2</f>
        <v>63</v>
      </c>
      <c r="J9" s="23" t="n">
        <f aca="false">ModelBear!$F$15*Retentie!$B$3</f>
        <v>17.64</v>
      </c>
      <c r="K9" s="23" t="n">
        <f aca="false">ModelBear!$F$15*Retentie!$B$4</f>
        <v>11.34</v>
      </c>
      <c r="L9" s="23" t="n">
        <f aca="false">ModelBear!$F$15*Retentie!$B$5</f>
        <v>8.19</v>
      </c>
      <c r="M9" s="23" t="n">
        <f aca="false">ModelBear!$F$15*Retentie!$B$6</f>
        <v>6.3</v>
      </c>
      <c r="N9" s="23" t="n">
        <f aca="false">ModelBear!$F$15*Retentie!$B$7</f>
        <v>5.355</v>
      </c>
      <c r="O9" s="23" t="n">
        <f aca="false">ModelBear!$F$15*Retentie!$B$8</f>
        <v>4.725</v>
      </c>
      <c r="P9" s="23" t="n">
        <f aca="false">ModelBear!$F$15*Retentie!$B$9</f>
        <v>4.284</v>
      </c>
      <c r="Q9" s="23" t="n">
        <f aca="false">ModelBear!$F$15*Retentie!$B$10</f>
        <v>3.906</v>
      </c>
      <c r="R9" s="23" t="n">
        <f aca="false">ModelBear!$F$15*Retentie!$B$11</f>
        <v>3.654</v>
      </c>
      <c r="S9" s="23" t="n">
        <f aca="false">ModelBear!$F$15*Retentie!$B$12</f>
        <v>3.402</v>
      </c>
      <c r="T9" s="23" t="n">
        <f aca="false">ModelBear!$F$15*Retentie!$B$13</f>
        <v>3.213</v>
      </c>
      <c r="U9" s="23" t="n">
        <f aca="false">ModelBear!$F$15*Retentie!$B$14</f>
        <v>3.024</v>
      </c>
      <c r="V9" s="23" t="n">
        <f aca="false">ModelBear!$F$15*Retentie!$B$15</f>
        <v>2.898</v>
      </c>
      <c r="W9" s="23" t="n">
        <f aca="false">ModelBear!$F$15*Retentie!$B$16</f>
        <v>2.772</v>
      </c>
      <c r="X9" s="23" t="n">
        <f aca="false">ModelBear!$F$15*Retentie!$B$17</f>
        <v>2.709</v>
      </c>
      <c r="Y9" s="23" t="n">
        <f aca="false">ModelBear!$F$15*Retentie!$B$18</f>
        <v>2.646</v>
      </c>
      <c r="Z9" s="23" t="n">
        <f aca="false">ModelBear!$F$15*Retentie!$B$19</f>
        <v>2.583</v>
      </c>
      <c r="AA9" s="23" t="n">
        <f aca="false">ModelBear!$F$15*Retentie!$B$20</f>
        <v>2.52</v>
      </c>
      <c r="AB9" s="23" t="n">
        <f aca="false">ModelBear!$F$15*Retentie!$B$21</f>
        <v>2.457</v>
      </c>
      <c r="AC9" s="23" t="n">
        <f aca="false">ModelBear!$F$15*Retentie!$B$22</f>
        <v>2.394</v>
      </c>
      <c r="AD9" s="23" t="n">
        <f aca="false">ModelBear!$F$15*Retentie!$B$23</f>
        <v>2.331</v>
      </c>
      <c r="AE9" s="23" t="n">
        <f aca="false">ModelBear!$F$15*Retentie!$B$24</f>
        <v>2.268</v>
      </c>
      <c r="AF9" s="23" t="n">
        <f aca="false">ModelBear!$F$15*Retentie!$B$25</f>
        <v>2.205</v>
      </c>
      <c r="AG9" s="23" t="n">
        <f aca="false">ModelBear!$F$15*Retentie!$B$26</f>
        <v>2.142</v>
      </c>
      <c r="AH9" s="23" t="n">
        <f aca="false">ModelBear!$F$15*Retentie!$B$27</f>
        <v>2.079</v>
      </c>
      <c r="AI9" s="23" t="n">
        <f aca="false">ModelBear!$F$15*Retentie!$B$28</f>
        <v>2.016</v>
      </c>
      <c r="AJ9" s="23" t="n">
        <f aca="false">ModelBear!$F$15*Retentie!$B$29</f>
        <v>1.953</v>
      </c>
      <c r="AK9" s="23" t="n">
        <f aca="false">ModelBear!$F$15*Retentie!$B$30</f>
        <v>1.89</v>
      </c>
    </row>
    <row r="10" customFormat="false" ht="15" hidden="false" customHeight="false" outlineLevel="0" collapsed="false">
      <c r="A10" s="5" t="n">
        <v>9</v>
      </c>
      <c r="J10" s="23" t="n">
        <f aca="false">ModelBear!$F$16*Retentie!$B$2</f>
        <v>63</v>
      </c>
      <c r="K10" s="23" t="n">
        <f aca="false">ModelBear!$F$16*Retentie!$B$3</f>
        <v>17.64</v>
      </c>
      <c r="L10" s="23" t="n">
        <f aca="false">ModelBear!$F$16*Retentie!$B$4</f>
        <v>11.34</v>
      </c>
      <c r="M10" s="23" t="n">
        <f aca="false">ModelBear!$F$16*Retentie!$B$5</f>
        <v>8.19</v>
      </c>
      <c r="N10" s="23" t="n">
        <f aca="false">ModelBear!$F$16*Retentie!$B$6</f>
        <v>6.3</v>
      </c>
      <c r="O10" s="23" t="n">
        <f aca="false">ModelBear!$F$16*Retentie!$B$7</f>
        <v>5.355</v>
      </c>
      <c r="P10" s="23" t="n">
        <f aca="false">ModelBear!$F$16*Retentie!$B$8</f>
        <v>4.725</v>
      </c>
      <c r="Q10" s="23" t="n">
        <f aca="false">ModelBear!$F$16*Retentie!$B$9</f>
        <v>4.284</v>
      </c>
      <c r="R10" s="23" t="n">
        <f aca="false">ModelBear!$F$16*Retentie!$B$10</f>
        <v>3.906</v>
      </c>
      <c r="S10" s="23" t="n">
        <f aca="false">ModelBear!$F$16*Retentie!$B$11</f>
        <v>3.654</v>
      </c>
      <c r="T10" s="23" t="n">
        <f aca="false">ModelBear!$F$16*Retentie!$B$12</f>
        <v>3.402</v>
      </c>
      <c r="U10" s="23" t="n">
        <f aca="false">ModelBear!$F$16*Retentie!$B$13</f>
        <v>3.213</v>
      </c>
      <c r="V10" s="23" t="n">
        <f aca="false">ModelBear!$F$16*Retentie!$B$14</f>
        <v>3.024</v>
      </c>
      <c r="W10" s="23" t="n">
        <f aca="false">ModelBear!$F$16*Retentie!$B$15</f>
        <v>2.898</v>
      </c>
      <c r="X10" s="23" t="n">
        <f aca="false">ModelBear!$F$16*Retentie!$B$16</f>
        <v>2.772</v>
      </c>
      <c r="Y10" s="23" t="n">
        <f aca="false">ModelBear!$F$16*Retentie!$B$17</f>
        <v>2.709</v>
      </c>
      <c r="Z10" s="23" t="n">
        <f aca="false">ModelBear!$F$16*Retentie!$B$18</f>
        <v>2.646</v>
      </c>
      <c r="AA10" s="23" t="n">
        <f aca="false">ModelBear!$F$16*Retentie!$B$19</f>
        <v>2.583</v>
      </c>
      <c r="AB10" s="23" t="n">
        <f aca="false">ModelBear!$F$16*Retentie!$B$20</f>
        <v>2.52</v>
      </c>
      <c r="AC10" s="23" t="n">
        <f aca="false">ModelBear!$F$16*Retentie!$B$21</f>
        <v>2.457</v>
      </c>
      <c r="AD10" s="23" t="n">
        <f aca="false">ModelBear!$F$16*Retentie!$B$22</f>
        <v>2.394</v>
      </c>
      <c r="AE10" s="23" t="n">
        <f aca="false">ModelBear!$F$16*Retentie!$B$23</f>
        <v>2.331</v>
      </c>
      <c r="AF10" s="23" t="n">
        <f aca="false">ModelBear!$F$16*Retentie!$B$24</f>
        <v>2.268</v>
      </c>
      <c r="AG10" s="23" t="n">
        <f aca="false">ModelBear!$F$16*Retentie!$B$25</f>
        <v>2.205</v>
      </c>
      <c r="AH10" s="23" t="n">
        <f aca="false">ModelBear!$F$16*Retentie!$B$26</f>
        <v>2.142</v>
      </c>
      <c r="AI10" s="23" t="n">
        <f aca="false">ModelBear!$F$16*Retentie!$B$27</f>
        <v>2.079</v>
      </c>
      <c r="AJ10" s="23" t="n">
        <f aca="false">ModelBear!$F$16*Retentie!$B$28</f>
        <v>2.016</v>
      </c>
      <c r="AK10" s="23" t="n">
        <f aca="false">ModelBear!$F$16*Retentie!$B$29</f>
        <v>1.953</v>
      </c>
    </row>
    <row r="11" customFormat="false" ht="15" hidden="false" customHeight="false" outlineLevel="0" collapsed="false">
      <c r="A11" s="5" t="n">
        <v>10</v>
      </c>
      <c r="K11" s="23" t="n">
        <f aca="false">ModelBear!$F$17*Retentie!$B$2</f>
        <v>63</v>
      </c>
      <c r="L11" s="23" t="n">
        <f aca="false">ModelBear!$F$17*Retentie!$B$3</f>
        <v>17.64</v>
      </c>
      <c r="M11" s="23" t="n">
        <f aca="false">ModelBear!$F$17*Retentie!$B$4</f>
        <v>11.34</v>
      </c>
      <c r="N11" s="23" t="n">
        <f aca="false">ModelBear!$F$17*Retentie!$B$5</f>
        <v>8.19</v>
      </c>
      <c r="O11" s="23" t="n">
        <f aca="false">ModelBear!$F$17*Retentie!$B$6</f>
        <v>6.3</v>
      </c>
      <c r="P11" s="23" t="n">
        <f aca="false">ModelBear!$F$17*Retentie!$B$7</f>
        <v>5.355</v>
      </c>
      <c r="Q11" s="23" t="n">
        <f aca="false">ModelBear!$F$17*Retentie!$B$8</f>
        <v>4.725</v>
      </c>
      <c r="R11" s="23" t="n">
        <f aca="false">ModelBear!$F$17*Retentie!$B$9</f>
        <v>4.284</v>
      </c>
      <c r="S11" s="23" t="n">
        <f aca="false">ModelBear!$F$17*Retentie!$B$10</f>
        <v>3.906</v>
      </c>
      <c r="T11" s="23" t="n">
        <f aca="false">ModelBear!$F$17*Retentie!$B$11</f>
        <v>3.654</v>
      </c>
      <c r="U11" s="23" t="n">
        <f aca="false">ModelBear!$F$17*Retentie!$B$12</f>
        <v>3.402</v>
      </c>
      <c r="V11" s="23" t="n">
        <f aca="false">ModelBear!$F$17*Retentie!$B$13</f>
        <v>3.213</v>
      </c>
      <c r="W11" s="23" t="n">
        <f aca="false">ModelBear!$F$17*Retentie!$B$14</f>
        <v>3.024</v>
      </c>
      <c r="X11" s="23" t="n">
        <f aca="false">ModelBear!$F$17*Retentie!$B$15</f>
        <v>2.898</v>
      </c>
      <c r="Y11" s="23" t="n">
        <f aca="false">ModelBear!$F$17*Retentie!$B$16</f>
        <v>2.772</v>
      </c>
      <c r="Z11" s="23" t="n">
        <f aca="false">ModelBear!$F$17*Retentie!$B$17</f>
        <v>2.709</v>
      </c>
      <c r="AA11" s="23" t="n">
        <f aca="false">ModelBear!$F$17*Retentie!$B$18</f>
        <v>2.646</v>
      </c>
      <c r="AB11" s="23" t="n">
        <f aca="false">ModelBear!$F$17*Retentie!$B$19</f>
        <v>2.583</v>
      </c>
      <c r="AC11" s="23" t="n">
        <f aca="false">ModelBear!$F$17*Retentie!$B$20</f>
        <v>2.52</v>
      </c>
      <c r="AD11" s="23" t="n">
        <f aca="false">ModelBear!$F$17*Retentie!$B$21</f>
        <v>2.457</v>
      </c>
      <c r="AE11" s="23" t="n">
        <f aca="false">ModelBear!$F$17*Retentie!$B$22</f>
        <v>2.394</v>
      </c>
      <c r="AF11" s="23" t="n">
        <f aca="false">ModelBear!$F$17*Retentie!$B$23</f>
        <v>2.331</v>
      </c>
      <c r="AG11" s="23" t="n">
        <f aca="false">ModelBear!$F$17*Retentie!$B$24</f>
        <v>2.268</v>
      </c>
      <c r="AH11" s="23" t="n">
        <f aca="false">ModelBear!$F$17*Retentie!$B$25</f>
        <v>2.205</v>
      </c>
      <c r="AI11" s="23" t="n">
        <f aca="false">ModelBear!$F$17*Retentie!$B$26</f>
        <v>2.142</v>
      </c>
      <c r="AJ11" s="23" t="n">
        <f aca="false">ModelBear!$F$17*Retentie!$B$27</f>
        <v>2.079</v>
      </c>
      <c r="AK11" s="23" t="n">
        <f aca="false">ModelBear!$F$17*Retentie!$B$28</f>
        <v>2.016</v>
      </c>
    </row>
    <row r="12" customFormat="false" ht="15" hidden="false" customHeight="false" outlineLevel="0" collapsed="false">
      <c r="A12" s="5" t="n">
        <v>11</v>
      </c>
      <c r="L12" s="23" t="n">
        <f aca="false">ModelBear!$F$18*Retentie!$B$2</f>
        <v>63</v>
      </c>
      <c r="M12" s="23" t="n">
        <f aca="false">ModelBear!$F$18*Retentie!$B$3</f>
        <v>17.64</v>
      </c>
      <c r="N12" s="23" t="n">
        <f aca="false">ModelBear!$F$18*Retentie!$B$4</f>
        <v>11.34</v>
      </c>
      <c r="O12" s="23" t="n">
        <f aca="false">ModelBear!$F$18*Retentie!$B$5</f>
        <v>8.19</v>
      </c>
      <c r="P12" s="23" t="n">
        <f aca="false">ModelBear!$F$18*Retentie!$B$6</f>
        <v>6.3</v>
      </c>
      <c r="Q12" s="23" t="n">
        <f aca="false">ModelBear!$F$18*Retentie!$B$7</f>
        <v>5.355</v>
      </c>
      <c r="R12" s="23" t="n">
        <f aca="false">ModelBear!$F$18*Retentie!$B$8</f>
        <v>4.725</v>
      </c>
      <c r="S12" s="23" t="n">
        <f aca="false">ModelBear!$F$18*Retentie!$B$9</f>
        <v>4.284</v>
      </c>
      <c r="T12" s="23" t="n">
        <f aca="false">ModelBear!$F$18*Retentie!$B$10</f>
        <v>3.906</v>
      </c>
      <c r="U12" s="23" t="n">
        <f aca="false">ModelBear!$F$18*Retentie!$B$11</f>
        <v>3.654</v>
      </c>
      <c r="V12" s="23" t="n">
        <f aca="false">ModelBear!$F$18*Retentie!$B$12</f>
        <v>3.402</v>
      </c>
      <c r="W12" s="23" t="n">
        <f aca="false">ModelBear!$F$18*Retentie!$B$13</f>
        <v>3.213</v>
      </c>
      <c r="X12" s="23" t="n">
        <f aca="false">ModelBear!$F$18*Retentie!$B$14</f>
        <v>3.024</v>
      </c>
      <c r="Y12" s="23" t="n">
        <f aca="false">ModelBear!$F$18*Retentie!$B$15</f>
        <v>2.898</v>
      </c>
      <c r="Z12" s="23" t="n">
        <f aca="false">ModelBear!$F$18*Retentie!$B$16</f>
        <v>2.772</v>
      </c>
      <c r="AA12" s="23" t="n">
        <f aca="false">ModelBear!$F$18*Retentie!$B$17</f>
        <v>2.709</v>
      </c>
      <c r="AB12" s="23" t="n">
        <f aca="false">ModelBear!$F$18*Retentie!$B$18</f>
        <v>2.646</v>
      </c>
      <c r="AC12" s="23" t="n">
        <f aca="false">ModelBear!$F$18*Retentie!$B$19</f>
        <v>2.583</v>
      </c>
      <c r="AD12" s="23" t="n">
        <f aca="false">ModelBear!$F$18*Retentie!$B$20</f>
        <v>2.52</v>
      </c>
      <c r="AE12" s="23" t="n">
        <f aca="false">ModelBear!$F$18*Retentie!$B$21</f>
        <v>2.457</v>
      </c>
      <c r="AF12" s="23" t="n">
        <f aca="false">ModelBear!$F$18*Retentie!$B$22</f>
        <v>2.394</v>
      </c>
      <c r="AG12" s="23" t="n">
        <f aca="false">ModelBear!$F$18*Retentie!$B$23</f>
        <v>2.331</v>
      </c>
      <c r="AH12" s="23" t="n">
        <f aca="false">ModelBear!$F$18*Retentie!$B$24</f>
        <v>2.268</v>
      </c>
      <c r="AI12" s="23" t="n">
        <f aca="false">ModelBear!$F$18*Retentie!$B$25</f>
        <v>2.205</v>
      </c>
      <c r="AJ12" s="23" t="n">
        <f aca="false">ModelBear!$F$18*Retentie!$B$26</f>
        <v>2.142</v>
      </c>
      <c r="AK12" s="23" t="n">
        <f aca="false">ModelBear!$F$18*Retentie!$B$27</f>
        <v>2.079</v>
      </c>
    </row>
    <row r="13" customFormat="false" ht="15" hidden="false" customHeight="false" outlineLevel="0" collapsed="false">
      <c r="A13" s="5" t="n">
        <v>12</v>
      </c>
      <c r="M13" s="23" t="n">
        <f aca="false">ModelBear!$F$19*Retentie!$B$2</f>
        <v>63</v>
      </c>
      <c r="N13" s="23" t="n">
        <f aca="false">ModelBear!$F$19*Retentie!$B$3</f>
        <v>17.64</v>
      </c>
      <c r="O13" s="23" t="n">
        <f aca="false">ModelBear!$F$19*Retentie!$B$4</f>
        <v>11.34</v>
      </c>
      <c r="P13" s="23" t="n">
        <f aca="false">ModelBear!$F$19*Retentie!$B$5</f>
        <v>8.19</v>
      </c>
      <c r="Q13" s="23" t="n">
        <f aca="false">ModelBear!$F$19*Retentie!$B$6</f>
        <v>6.3</v>
      </c>
      <c r="R13" s="23" t="n">
        <f aca="false">ModelBear!$F$19*Retentie!$B$7</f>
        <v>5.355</v>
      </c>
      <c r="S13" s="23" t="n">
        <f aca="false">ModelBear!$F$19*Retentie!$B$8</f>
        <v>4.725</v>
      </c>
      <c r="T13" s="23" t="n">
        <f aca="false">ModelBear!$F$19*Retentie!$B$9</f>
        <v>4.284</v>
      </c>
      <c r="U13" s="23" t="n">
        <f aca="false">ModelBear!$F$19*Retentie!$B$10</f>
        <v>3.906</v>
      </c>
      <c r="V13" s="23" t="n">
        <f aca="false">ModelBear!$F$19*Retentie!$B$11</f>
        <v>3.654</v>
      </c>
      <c r="W13" s="23" t="n">
        <f aca="false">ModelBear!$F$19*Retentie!$B$12</f>
        <v>3.402</v>
      </c>
      <c r="X13" s="23" t="n">
        <f aca="false">ModelBear!$F$19*Retentie!$B$13</f>
        <v>3.213</v>
      </c>
      <c r="Y13" s="23" t="n">
        <f aca="false">ModelBear!$F$19*Retentie!$B$14</f>
        <v>3.024</v>
      </c>
      <c r="Z13" s="23" t="n">
        <f aca="false">ModelBear!$F$19*Retentie!$B$15</f>
        <v>2.898</v>
      </c>
      <c r="AA13" s="23" t="n">
        <f aca="false">ModelBear!$F$19*Retentie!$B$16</f>
        <v>2.772</v>
      </c>
      <c r="AB13" s="23" t="n">
        <f aca="false">ModelBear!$F$19*Retentie!$B$17</f>
        <v>2.709</v>
      </c>
      <c r="AC13" s="23" t="n">
        <f aca="false">ModelBear!$F$19*Retentie!$B$18</f>
        <v>2.646</v>
      </c>
      <c r="AD13" s="23" t="n">
        <f aca="false">ModelBear!$F$19*Retentie!$B$19</f>
        <v>2.583</v>
      </c>
      <c r="AE13" s="23" t="n">
        <f aca="false">ModelBear!$F$19*Retentie!$B$20</f>
        <v>2.52</v>
      </c>
      <c r="AF13" s="23" t="n">
        <f aca="false">ModelBear!$F$19*Retentie!$B$21</f>
        <v>2.457</v>
      </c>
      <c r="AG13" s="23" t="n">
        <f aca="false">ModelBear!$F$19*Retentie!$B$22</f>
        <v>2.394</v>
      </c>
      <c r="AH13" s="23" t="n">
        <f aca="false">ModelBear!$F$19*Retentie!$B$23</f>
        <v>2.331</v>
      </c>
      <c r="AI13" s="23" t="n">
        <f aca="false">ModelBear!$F$19*Retentie!$B$24</f>
        <v>2.268</v>
      </c>
      <c r="AJ13" s="23" t="n">
        <f aca="false">ModelBear!$F$19*Retentie!$B$25</f>
        <v>2.205</v>
      </c>
      <c r="AK13" s="23" t="n">
        <f aca="false">ModelBear!$F$19*Retentie!$B$26</f>
        <v>2.142</v>
      </c>
    </row>
    <row r="14" customFormat="false" ht="15" hidden="false" customHeight="false" outlineLevel="0" collapsed="false">
      <c r="A14" s="5" t="n">
        <v>13</v>
      </c>
      <c r="N14" s="23" t="n">
        <f aca="false">ModelBear!$F$20*Retentie!$B$2</f>
        <v>113.4</v>
      </c>
      <c r="O14" s="23" t="n">
        <f aca="false">ModelBear!$F$20*Retentie!$B$3</f>
        <v>31.752</v>
      </c>
      <c r="P14" s="23" t="n">
        <f aca="false">ModelBear!$F$20*Retentie!$B$4</f>
        <v>20.412</v>
      </c>
      <c r="Q14" s="23" t="n">
        <f aca="false">ModelBear!$F$20*Retentie!$B$5</f>
        <v>14.742</v>
      </c>
      <c r="R14" s="23" t="n">
        <f aca="false">ModelBear!$F$20*Retentie!$B$6</f>
        <v>11.34</v>
      </c>
      <c r="S14" s="23" t="n">
        <f aca="false">ModelBear!$F$20*Retentie!$B$7</f>
        <v>9.639</v>
      </c>
      <c r="T14" s="23" t="n">
        <f aca="false">ModelBear!$F$20*Retentie!$B$8</f>
        <v>8.505</v>
      </c>
      <c r="U14" s="23" t="n">
        <f aca="false">ModelBear!$F$20*Retentie!$B$9</f>
        <v>7.7112</v>
      </c>
      <c r="V14" s="23" t="n">
        <f aca="false">ModelBear!$F$20*Retentie!$B$10</f>
        <v>7.0308</v>
      </c>
      <c r="W14" s="23" t="n">
        <f aca="false">ModelBear!$F$20*Retentie!$B$11</f>
        <v>6.5772</v>
      </c>
      <c r="X14" s="23" t="n">
        <f aca="false">ModelBear!$F$20*Retentie!$B$12</f>
        <v>6.1236</v>
      </c>
      <c r="Y14" s="23" t="n">
        <f aca="false">ModelBear!$F$20*Retentie!$B$13</f>
        <v>5.7834</v>
      </c>
      <c r="Z14" s="23" t="n">
        <f aca="false">ModelBear!$F$20*Retentie!$B$14</f>
        <v>5.4432</v>
      </c>
      <c r="AA14" s="23" t="n">
        <f aca="false">ModelBear!$F$20*Retentie!$B$15</f>
        <v>5.2164</v>
      </c>
      <c r="AB14" s="23" t="n">
        <f aca="false">ModelBear!$F$20*Retentie!$B$16</f>
        <v>4.9896</v>
      </c>
      <c r="AC14" s="23" t="n">
        <f aca="false">ModelBear!$F$20*Retentie!$B$17</f>
        <v>4.8762</v>
      </c>
      <c r="AD14" s="23" t="n">
        <f aca="false">ModelBear!$F$20*Retentie!$B$18</f>
        <v>4.7628</v>
      </c>
      <c r="AE14" s="23" t="n">
        <f aca="false">ModelBear!$F$20*Retentie!$B$19</f>
        <v>4.6494</v>
      </c>
      <c r="AF14" s="23" t="n">
        <f aca="false">ModelBear!$F$20*Retentie!$B$20</f>
        <v>4.536</v>
      </c>
      <c r="AG14" s="23" t="n">
        <f aca="false">ModelBear!$F$20*Retentie!$B$21</f>
        <v>4.4226</v>
      </c>
      <c r="AH14" s="23" t="n">
        <f aca="false">ModelBear!$F$20*Retentie!$B$22</f>
        <v>4.3092</v>
      </c>
      <c r="AI14" s="23" t="n">
        <f aca="false">ModelBear!$F$20*Retentie!$B$23</f>
        <v>4.1958</v>
      </c>
      <c r="AJ14" s="23" t="n">
        <f aca="false">ModelBear!$F$20*Retentie!$B$24</f>
        <v>4.0824</v>
      </c>
      <c r="AK14" s="23" t="n">
        <f aca="false">ModelBear!$F$20*Retentie!$B$25</f>
        <v>3.969</v>
      </c>
    </row>
    <row r="15" customFormat="false" ht="15" hidden="false" customHeight="false" outlineLevel="0" collapsed="false">
      <c r="A15" s="5" t="n">
        <v>14</v>
      </c>
      <c r="O15" s="23" t="n">
        <f aca="false">ModelBear!$F$21*Retentie!$B$2</f>
        <v>63</v>
      </c>
      <c r="P15" s="23" t="n">
        <f aca="false">ModelBear!$F$21*Retentie!$B$3</f>
        <v>17.64</v>
      </c>
      <c r="Q15" s="23" t="n">
        <f aca="false">ModelBear!$F$21*Retentie!$B$4</f>
        <v>11.34</v>
      </c>
      <c r="R15" s="23" t="n">
        <f aca="false">ModelBear!$F$21*Retentie!$B$5</f>
        <v>8.19</v>
      </c>
      <c r="S15" s="23" t="n">
        <f aca="false">ModelBear!$F$21*Retentie!$B$6</f>
        <v>6.3</v>
      </c>
      <c r="T15" s="23" t="n">
        <f aca="false">ModelBear!$F$21*Retentie!$B$7</f>
        <v>5.355</v>
      </c>
      <c r="U15" s="23" t="n">
        <f aca="false">ModelBear!$F$21*Retentie!$B$8</f>
        <v>4.725</v>
      </c>
      <c r="V15" s="23" t="n">
        <f aca="false">ModelBear!$F$21*Retentie!$B$9</f>
        <v>4.284</v>
      </c>
      <c r="W15" s="23" t="n">
        <f aca="false">ModelBear!$F$21*Retentie!$B$10</f>
        <v>3.906</v>
      </c>
      <c r="X15" s="23" t="n">
        <f aca="false">ModelBear!$F$21*Retentie!$B$11</f>
        <v>3.654</v>
      </c>
      <c r="Y15" s="23" t="n">
        <f aca="false">ModelBear!$F$21*Retentie!$B$12</f>
        <v>3.402</v>
      </c>
      <c r="Z15" s="23" t="n">
        <f aca="false">ModelBear!$F$21*Retentie!$B$13</f>
        <v>3.213</v>
      </c>
      <c r="AA15" s="23" t="n">
        <f aca="false">ModelBear!$F$21*Retentie!$B$14</f>
        <v>3.024</v>
      </c>
      <c r="AB15" s="23" t="n">
        <f aca="false">ModelBear!$F$21*Retentie!$B$15</f>
        <v>2.898</v>
      </c>
      <c r="AC15" s="23" t="n">
        <f aca="false">ModelBear!$F$21*Retentie!$B$16</f>
        <v>2.772</v>
      </c>
      <c r="AD15" s="23" t="n">
        <f aca="false">ModelBear!$F$21*Retentie!$B$17</f>
        <v>2.709</v>
      </c>
      <c r="AE15" s="23" t="n">
        <f aca="false">ModelBear!$F$21*Retentie!$B$18</f>
        <v>2.646</v>
      </c>
      <c r="AF15" s="23" t="n">
        <f aca="false">ModelBear!$F$21*Retentie!$B$19</f>
        <v>2.583</v>
      </c>
      <c r="AG15" s="23" t="n">
        <f aca="false">ModelBear!$F$21*Retentie!$B$20</f>
        <v>2.52</v>
      </c>
      <c r="AH15" s="23" t="n">
        <f aca="false">ModelBear!$F$21*Retentie!$B$21</f>
        <v>2.457</v>
      </c>
      <c r="AI15" s="23" t="n">
        <f aca="false">ModelBear!$F$21*Retentie!$B$22</f>
        <v>2.394</v>
      </c>
      <c r="AJ15" s="23" t="n">
        <f aca="false">ModelBear!$F$21*Retentie!$B$23</f>
        <v>2.331</v>
      </c>
      <c r="AK15" s="23" t="n">
        <f aca="false">ModelBear!$F$21*Retentie!$B$24</f>
        <v>2.268</v>
      </c>
    </row>
    <row r="16" customFormat="false" ht="15" hidden="false" customHeight="false" outlineLevel="0" collapsed="false">
      <c r="A16" s="5" t="n">
        <v>15</v>
      </c>
      <c r="P16" s="23" t="n">
        <f aca="false">ModelBear!$F$22*Retentie!$B$2</f>
        <v>63</v>
      </c>
      <c r="Q16" s="23" t="n">
        <f aca="false">ModelBear!$F$22*Retentie!$B$3</f>
        <v>17.64</v>
      </c>
      <c r="R16" s="23" t="n">
        <f aca="false">ModelBear!$F$22*Retentie!$B$4</f>
        <v>11.34</v>
      </c>
      <c r="S16" s="23" t="n">
        <f aca="false">ModelBear!$F$22*Retentie!$B$5</f>
        <v>8.19</v>
      </c>
      <c r="T16" s="23" t="n">
        <f aca="false">ModelBear!$F$22*Retentie!$B$6</f>
        <v>6.3</v>
      </c>
      <c r="U16" s="23" t="n">
        <f aca="false">ModelBear!$F$22*Retentie!$B$7</f>
        <v>5.355</v>
      </c>
      <c r="V16" s="23" t="n">
        <f aca="false">ModelBear!$F$22*Retentie!$B$8</f>
        <v>4.725</v>
      </c>
      <c r="W16" s="23" t="n">
        <f aca="false">ModelBear!$F$22*Retentie!$B$9</f>
        <v>4.284</v>
      </c>
      <c r="X16" s="23" t="n">
        <f aca="false">ModelBear!$F$22*Retentie!$B$10</f>
        <v>3.906</v>
      </c>
      <c r="Y16" s="23" t="n">
        <f aca="false">ModelBear!$F$22*Retentie!$B$11</f>
        <v>3.654</v>
      </c>
      <c r="Z16" s="23" t="n">
        <f aca="false">ModelBear!$F$22*Retentie!$B$12</f>
        <v>3.402</v>
      </c>
      <c r="AA16" s="23" t="n">
        <f aca="false">ModelBear!$F$22*Retentie!$B$13</f>
        <v>3.213</v>
      </c>
      <c r="AB16" s="23" t="n">
        <f aca="false">ModelBear!$F$22*Retentie!$B$14</f>
        <v>3.024</v>
      </c>
      <c r="AC16" s="23" t="n">
        <f aca="false">ModelBear!$F$22*Retentie!$B$15</f>
        <v>2.898</v>
      </c>
      <c r="AD16" s="23" t="n">
        <f aca="false">ModelBear!$F$22*Retentie!$B$16</f>
        <v>2.772</v>
      </c>
      <c r="AE16" s="23" t="n">
        <f aca="false">ModelBear!$F$22*Retentie!$B$17</f>
        <v>2.709</v>
      </c>
      <c r="AF16" s="23" t="n">
        <f aca="false">ModelBear!$F$22*Retentie!$B$18</f>
        <v>2.646</v>
      </c>
      <c r="AG16" s="23" t="n">
        <f aca="false">ModelBear!$F$22*Retentie!$B$19</f>
        <v>2.583</v>
      </c>
      <c r="AH16" s="23" t="n">
        <f aca="false">ModelBear!$F$22*Retentie!$B$20</f>
        <v>2.52</v>
      </c>
      <c r="AI16" s="23" t="n">
        <f aca="false">ModelBear!$F$22*Retentie!$B$21</f>
        <v>2.457</v>
      </c>
      <c r="AJ16" s="23" t="n">
        <f aca="false">ModelBear!$F$22*Retentie!$B$22</f>
        <v>2.394</v>
      </c>
      <c r="AK16" s="23" t="n">
        <f aca="false">ModelBear!$F$22*Retentie!$B$23</f>
        <v>2.331</v>
      </c>
    </row>
    <row r="17" customFormat="false" ht="15" hidden="false" customHeight="false" outlineLevel="0" collapsed="false">
      <c r="A17" s="5" t="n">
        <v>16</v>
      </c>
      <c r="Q17" s="23" t="n">
        <f aca="false">ModelBear!$F$23*Retentie!$B$2</f>
        <v>63</v>
      </c>
      <c r="R17" s="23" t="n">
        <f aca="false">ModelBear!$F$23*Retentie!$B$3</f>
        <v>17.64</v>
      </c>
      <c r="S17" s="23" t="n">
        <f aca="false">ModelBear!$F$23*Retentie!$B$4</f>
        <v>11.34</v>
      </c>
      <c r="T17" s="23" t="n">
        <f aca="false">ModelBear!$F$23*Retentie!$B$5</f>
        <v>8.19</v>
      </c>
      <c r="U17" s="23" t="n">
        <f aca="false">ModelBear!$F$23*Retentie!$B$6</f>
        <v>6.3</v>
      </c>
      <c r="V17" s="23" t="n">
        <f aca="false">ModelBear!$F$23*Retentie!$B$7</f>
        <v>5.355</v>
      </c>
      <c r="W17" s="23" t="n">
        <f aca="false">ModelBear!$F$23*Retentie!$B$8</f>
        <v>4.725</v>
      </c>
      <c r="X17" s="23" t="n">
        <f aca="false">ModelBear!$F$23*Retentie!$B$9</f>
        <v>4.284</v>
      </c>
      <c r="Y17" s="23" t="n">
        <f aca="false">ModelBear!$F$23*Retentie!$B$10</f>
        <v>3.906</v>
      </c>
      <c r="Z17" s="23" t="n">
        <f aca="false">ModelBear!$F$23*Retentie!$B$11</f>
        <v>3.654</v>
      </c>
      <c r="AA17" s="23" t="n">
        <f aca="false">ModelBear!$F$23*Retentie!$B$12</f>
        <v>3.402</v>
      </c>
      <c r="AB17" s="23" t="n">
        <f aca="false">ModelBear!$F$23*Retentie!$B$13</f>
        <v>3.213</v>
      </c>
      <c r="AC17" s="23" t="n">
        <f aca="false">ModelBear!$F$23*Retentie!$B$14</f>
        <v>3.024</v>
      </c>
      <c r="AD17" s="23" t="n">
        <f aca="false">ModelBear!$F$23*Retentie!$B$15</f>
        <v>2.898</v>
      </c>
      <c r="AE17" s="23" t="n">
        <f aca="false">ModelBear!$F$23*Retentie!$B$16</f>
        <v>2.772</v>
      </c>
      <c r="AF17" s="23" t="n">
        <f aca="false">ModelBear!$F$23*Retentie!$B$17</f>
        <v>2.709</v>
      </c>
      <c r="AG17" s="23" t="n">
        <f aca="false">ModelBear!$F$23*Retentie!$B$18</f>
        <v>2.646</v>
      </c>
      <c r="AH17" s="23" t="n">
        <f aca="false">ModelBear!$F$23*Retentie!$B$19</f>
        <v>2.583</v>
      </c>
      <c r="AI17" s="23" t="n">
        <f aca="false">ModelBear!$F$23*Retentie!$B$20</f>
        <v>2.52</v>
      </c>
      <c r="AJ17" s="23" t="n">
        <f aca="false">ModelBear!$F$23*Retentie!$B$21</f>
        <v>2.457</v>
      </c>
      <c r="AK17" s="23" t="n">
        <f aca="false">ModelBear!$F$23*Retentie!$B$22</f>
        <v>2.394</v>
      </c>
    </row>
    <row r="18" customFormat="false" ht="15" hidden="false" customHeight="false" outlineLevel="0" collapsed="false">
      <c r="A18" s="5" t="n">
        <v>17</v>
      </c>
      <c r="R18" s="23" t="n">
        <f aca="false">ModelBear!$F$24*Retentie!$B$2</f>
        <v>63</v>
      </c>
      <c r="S18" s="23" t="n">
        <f aca="false">ModelBear!$F$24*Retentie!$B$3</f>
        <v>17.64</v>
      </c>
      <c r="T18" s="23" t="n">
        <f aca="false">ModelBear!$F$24*Retentie!$B$4</f>
        <v>11.34</v>
      </c>
      <c r="U18" s="23" t="n">
        <f aca="false">ModelBear!$F$24*Retentie!$B$5</f>
        <v>8.19</v>
      </c>
      <c r="V18" s="23" t="n">
        <f aca="false">ModelBear!$F$24*Retentie!$B$6</f>
        <v>6.3</v>
      </c>
      <c r="W18" s="23" t="n">
        <f aca="false">ModelBear!$F$24*Retentie!$B$7</f>
        <v>5.355</v>
      </c>
      <c r="X18" s="23" t="n">
        <f aca="false">ModelBear!$F$24*Retentie!$B$8</f>
        <v>4.725</v>
      </c>
      <c r="Y18" s="23" t="n">
        <f aca="false">ModelBear!$F$24*Retentie!$B$9</f>
        <v>4.284</v>
      </c>
      <c r="Z18" s="23" t="n">
        <f aca="false">ModelBear!$F$24*Retentie!$B$10</f>
        <v>3.906</v>
      </c>
      <c r="AA18" s="23" t="n">
        <f aca="false">ModelBear!$F$24*Retentie!$B$11</f>
        <v>3.654</v>
      </c>
      <c r="AB18" s="23" t="n">
        <f aca="false">ModelBear!$F$24*Retentie!$B$12</f>
        <v>3.402</v>
      </c>
      <c r="AC18" s="23" t="n">
        <f aca="false">ModelBear!$F$24*Retentie!$B$13</f>
        <v>3.213</v>
      </c>
      <c r="AD18" s="23" t="n">
        <f aca="false">ModelBear!$F$24*Retentie!$B$14</f>
        <v>3.024</v>
      </c>
      <c r="AE18" s="23" t="n">
        <f aca="false">ModelBear!$F$24*Retentie!$B$15</f>
        <v>2.898</v>
      </c>
      <c r="AF18" s="23" t="n">
        <f aca="false">ModelBear!$F$24*Retentie!$B$16</f>
        <v>2.772</v>
      </c>
      <c r="AG18" s="23" t="n">
        <f aca="false">ModelBear!$F$24*Retentie!$B$17</f>
        <v>2.709</v>
      </c>
      <c r="AH18" s="23" t="n">
        <f aca="false">ModelBear!$F$24*Retentie!$B$18</f>
        <v>2.646</v>
      </c>
      <c r="AI18" s="23" t="n">
        <f aca="false">ModelBear!$F$24*Retentie!$B$19</f>
        <v>2.583</v>
      </c>
      <c r="AJ18" s="23" t="n">
        <f aca="false">ModelBear!$F$24*Retentie!$B$20</f>
        <v>2.52</v>
      </c>
      <c r="AK18" s="23" t="n">
        <f aca="false">ModelBear!$F$24*Retentie!$B$21</f>
        <v>2.457</v>
      </c>
    </row>
    <row r="19" customFormat="false" ht="15" hidden="false" customHeight="false" outlineLevel="0" collapsed="false">
      <c r="A19" s="5" t="n">
        <v>18</v>
      </c>
      <c r="S19" s="23" t="n">
        <f aca="false">ModelBear!$F$25*Retentie!$B$2</f>
        <v>63</v>
      </c>
      <c r="T19" s="23" t="n">
        <f aca="false">ModelBear!$F$25*Retentie!$B$3</f>
        <v>17.64</v>
      </c>
      <c r="U19" s="23" t="n">
        <f aca="false">ModelBear!$F$25*Retentie!$B$4</f>
        <v>11.34</v>
      </c>
      <c r="V19" s="23" t="n">
        <f aca="false">ModelBear!$F$25*Retentie!$B$5</f>
        <v>8.19</v>
      </c>
      <c r="W19" s="23" t="n">
        <f aca="false">ModelBear!$F$25*Retentie!$B$6</f>
        <v>6.3</v>
      </c>
      <c r="X19" s="23" t="n">
        <f aca="false">ModelBear!$F$25*Retentie!$B$7</f>
        <v>5.355</v>
      </c>
      <c r="Y19" s="23" t="n">
        <f aca="false">ModelBear!$F$25*Retentie!$B$8</f>
        <v>4.725</v>
      </c>
      <c r="Z19" s="23" t="n">
        <f aca="false">ModelBear!$F$25*Retentie!$B$9</f>
        <v>4.284</v>
      </c>
      <c r="AA19" s="23" t="n">
        <f aca="false">ModelBear!$F$25*Retentie!$B$10</f>
        <v>3.906</v>
      </c>
      <c r="AB19" s="23" t="n">
        <f aca="false">ModelBear!$F$25*Retentie!$B$11</f>
        <v>3.654</v>
      </c>
      <c r="AC19" s="23" t="n">
        <f aca="false">ModelBear!$F$25*Retentie!$B$12</f>
        <v>3.402</v>
      </c>
      <c r="AD19" s="23" t="n">
        <f aca="false">ModelBear!$F$25*Retentie!$B$13</f>
        <v>3.213</v>
      </c>
      <c r="AE19" s="23" t="n">
        <f aca="false">ModelBear!$F$25*Retentie!$B$14</f>
        <v>3.024</v>
      </c>
      <c r="AF19" s="23" t="n">
        <f aca="false">ModelBear!$F$25*Retentie!$B$15</f>
        <v>2.898</v>
      </c>
      <c r="AG19" s="23" t="n">
        <f aca="false">ModelBear!$F$25*Retentie!$B$16</f>
        <v>2.772</v>
      </c>
      <c r="AH19" s="23" t="n">
        <f aca="false">ModelBear!$F$25*Retentie!$B$17</f>
        <v>2.709</v>
      </c>
      <c r="AI19" s="23" t="n">
        <f aca="false">ModelBear!$F$25*Retentie!$B$18</f>
        <v>2.646</v>
      </c>
      <c r="AJ19" s="23" t="n">
        <f aca="false">ModelBear!$F$25*Retentie!$B$19</f>
        <v>2.583</v>
      </c>
      <c r="AK19" s="23" t="n">
        <f aca="false">ModelBear!$F$25*Retentie!$B$20</f>
        <v>2.52</v>
      </c>
    </row>
    <row r="20" customFormat="false" ht="15" hidden="false" customHeight="false" outlineLevel="0" collapsed="false">
      <c r="A20" s="5" t="n">
        <v>19</v>
      </c>
      <c r="T20" s="23" t="n">
        <f aca="false">ModelBear!$F$26*Retentie!$B$2</f>
        <v>63</v>
      </c>
      <c r="U20" s="23" t="n">
        <f aca="false">ModelBear!$F$26*Retentie!$B$3</f>
        <v>17.64</v>
      </c>
      <c r="V20" s="23" t="n">
        <f aca="false">ModelBear!$F$26*Retentie!$B$4</f>
        <v>11.34</v>
      </c>
      <c r="W20" s="23" t="n">
        <f aca="false">ModelBear!$F$26*Retentie!$B$5</f>
        <v>8.19</v>
      </c>
      <c r="X20" s="23" t="n">
        <f aca="false">ModelBear!$F$26*Retentie!$B$6</f>
        <v>6.3</v>
      </c>
      <c r="Y20" s="23" t="n">
        <f aca="false">ModelBear!$F$26*Retentie!$B$7</f>
        <v>5.355</v>
      </c>
      <c r="Z20" s="23" t="n">
        <f aca="false">ModelBear!$F$26*Retentie!$B$8</f>
        <v>4.725</v>
      </c>
      <c r="AA20" s="23" t="n">
        <f aca="false">ModelBear!$F$26*Retentie!$B$9</f>
        <v>4.284</v>
      </c>
      <c r="AB20" s="23" t="n">
        <f aca="false">ModelBear!$F$26*Retentie!$B$10</f>
        <v>3.906</v>
      </c>
      <c r="AC20" s="23" t="n">
        <f aca="false">ModelBear!$F$26*Retentie!$B$11</f>
        <v>3.654</v>
      </c>
      <c r="AD20" s="23" t="n">
        <f aca="false">ModelBear!$F$26*Retentie!$B$12</f>
        <v>3.402</v>
      </c>
      <c r="AE20" s="23" t="n">
        <f aca="false">ModelBear!$F$26*Retentie!$B$13</f>
        <v>3.213</v>
      </c>
      <c r="AF20" s="23" t="n">
        <f aca="false">ModelBear!$F$26*Retentie!$B$14</f>
        <v>3.024</v>
      </c>
      <c r="AG20" s="23" t="n">
        <f aca="false">ModelBear!$F$26*Retentie!$B$15</f>
        <v>2.898</v>
      </c>
      <c r="AH20" s="23" t="n">
        <f aca="false">ModelBear!$F$26*Retentie!$B$16</f>
        <v>2.772</v>
      </c>
      <c r="AI20" s="23" t="n">
        <f aca="false">ModelBear!$F$26*Retentie!$B$17</f>
        <v>2.709</v>
      </c>
      <c r="AJ20" s="23" t="n">
        <f aca="false">ModelBear!$F$26*Retentie!$B$18</f>
        <v>2.646</v>
      </c>
      <c r="AK20" s="23" t="n">
        <f aca="false">ModelBear!$F$26*Retentie!$B$19</f>
        <v>2.583</v>
      </c>
    </row>
    <row r="21" customFormat="false" ht="15" hidden="false" customHeight="false" outlineLevel="0" collapsed="false">
      <c r="A21" s="5" t="n">
        <v>20</v>
      </c>
      <c r="U21" s="23" t="n">
        <f aca="false">ModelBear!$F$27*Retentie!$B$2</f>
        <v>63</v>
      </c>
      <c r="V21" s="23" t="n">
        <f aca="false">ModelBear!$F$27*Retentie!$B$3</f>
        <v>17.64</v>
      </c>
      <c r="W21" s="23" t="n">
        <f aca="false">ModelBear!$F$27*Retentie!$B$4</f>
        <v>11.34</v>
      </c>
      <c r="X21" s="23" t="n">
        <f aca="false">ModelBear!$F$27*Retentie!$B$5</f>
        <v>8.19</v>
      </c>
      <c r="Y21" s="23" t="n">
        <f aca="false">ModelBear!$F$27*Retentie!$B$6</f>
        <v>6.3</v>
      </c>
      <c r="Z21" s="23" t="n">
        <f aca="false">ModelBear!$F$27*Retentie!$B$7</f>
        <v>5.355</v>
      </c>
      <c r="AA21" s="23" t="n">
        <f aca="false">ModelBear!$F$27*Retentie!$B$8</f>
        <v>4.725</v>
      </c>
      <c r="AB21" s="23" t="n">
        <f aca="false">ModelBear!$F$27*Retentie!$B$9</f>
        <v>4.284</v>
      </c>
      <c r="AC21" s="23" t="n">
        <f aca="false">ModelBear!$F$27*Retentie!$B$10</f>
        <v>3.906</v>
      </c>
      <c r="AD21" s="23" t="n">
        <f aca="false">ModelBear!$F$27*Retentie!$B$11</f>
        <v>3.654</v>
      </c>
      <c r="AE21" s="23" t="n">
        <f aca="false">ModelBear!$F$27*Retentie!$B$12</f>
        <v>3.402</v>
      </c>
      <c r="AF21" s="23" t="n">
        <f aca="false">ModelBear!$F$27*Retentie!$B$13</f>
        <v>3.213</v>
      </c>
      <c r="AG21" s="23" t="n">
        <f aca="false">ModelBear!$F$27*Retentie!$B$14</f>
        <v>3.024</v>
      </c>
      <c r="AH21" s="23" t="n">
        <f aca="false">ModelBear!$F$27*Retentie!$B$15</f>
        <v>2.898</v>
      </c>
      <c r="AI21" s="23" t="n">
        <f aca="false">ModelBear!$F$27*Retentie!$B$16</f>
        <v>2.772</v>
      </c>
      <c r="AJ21" s="23" t="n">
        <f aca="false">ModelBear!$F$27*Retentie!$B$17</f>
        <v>2.709</v>
      </c>
      <c r="AK21" s="23" t="n">
        <f aca="false">ModelBear!$F$27*Retentie!$B$18</f>
        <v>2.646</v>
      </c>
    </row>
    <row r="22" customFormat="false" ht="15" hidden="false" customHeight="false" outlineLevel="0" collapsed="false">
      <c r="A22" s="5" t="n">
        <v>21</v>
      </c>
      <c r="V22" s="23" t="n">
        <f aca="false">ModelBear!$F$28*Retentie!$B$2</f>
        <v>63</v>
      </c>
      <c r="W22" s="23" t="n">
        <f aca="false">ModelBear!$F$28*Retentie!$B$3</f>
        <v>17.64</v>
      </c>
      <c r="X22" s="23" t="n">
        <f aca="false">ModelBear!$F$28*Retentie!$B$4</f>
        <v>11.34</v>
      </c>
      <c r="Y22" s="23" t="n">
        <f aca="false">ModelBear!$F$28*Retentie!$B$5</f>
        <v>8.19</v>
      </c>
      <c r="Z22" s="23" t="n">
        <f aca="false">ModelBear!$F$28*Retentie!$B$6</f>
        <v>6.3</v>
      </c>
      <c r="AA22" s="23" t="n">
        <f aca="false">ModelBear!$F$28*Retentie!$B$7</f>
        <v>5.355</v>
      </c>
      <c r="AB22" s="23" t="n">
        <f aca="false">ModelBear!$F$28*Retentie!$B$8</f>
        <v>4.725</v>
      </c>
      <c r="AC22" s="23" t="n">
        <f aca="false">ModelBear!$F$28*Retentie!$B$9</f>
        <v>4.284</v>
      </c>
      <c r="AD22" s="23" t="n">
        <f aca="false">ModelBear!$F$28*Retentie!$B$10</f>
        <v>3.906</v>
      </c>
      <c r="AE22" s="23" t="n">
        <f aca="false">ModelBear!$F$28*Retentie!$B$11</f>
        <v>3.654</v>
      </c>
      <c r="AF22" s="23" t="n">
        <f aca="false">ModelBear!$F$28*Retentie!$B$12</f>
        <v>3.402</v>
      </c>
      <c r="AG22" s="23" t="n">
        <f aca="false">ModelBear!$F$28*Retentie!$B$13</f>
        <v>3.213</v>
      </c>
      <c r="AH22" s="23" t="n">
        <f aca="false">ModelBear!$F$28*Retentie!$B$14</f>
        <v>3.024</v>
      </c>
      <c r="AI22" s="23" t="n">
        <f aca="false">ModelBear!$F$28*Retentie!$B$15</f>
        <v>2.898</v>
      </c>
      <c r="AJ22" s="23" t="n">
        <f aca="false">ModelBear!$F$28*Retentie!$B$16</f>
        <v>2.772</v>
      </c>
      <c r="AK22" s="23" t="n">
        <f aca="false">ModelBear!$F$28*Retentie!$B$17</f>
        <v>2.709</v>
      </c>
    </row>
    <row r="23" customFormat="false" ht="15" hidden="false" customHeight="false" outlineLevel="0" collapsed="false">
      <c r="A23" s="5" t="n">
        <v>22</v>
      </c>
      <c r="W23" s="23" t="n">
        <f aca="false">ModelBear!$F$29*Retentie!$B$2</f>
        <v>63</v>
      </c>
      <c r="X23" s="23" t="n">
        <f aca="false">ModelBear!$F$29*Retentie!$B$3</f>
        <v>17.64</v>
      </c>
      <c r="Y23" s="23" t="n">
        <f aca="false">ModelBear!$F$29*Retentie!$B$4</f>
        <v>11.34</v>
      </c>
      <c r="Z23" s="23" t="n">
        <f aca="false">ModelBear!$F$29*Retentie!$B$5</f>
        <v>8.19</v>
      </c>
      <c r="AA23" s="23" t="n">
        <f aca="false">ModelBear!$F$29*Retentie!$B$6</f>
        <v>6.3</v>
      </c>
      <c r="AB23" s="23" t="n">
        <f aca="false">ModelBear!$F$29*Retentie!$B$7</f>
        <v>5.355</v>
      </c>
      <c r="AC23" s="23" t="n">
        <f aca="false">ModelBear!$F$29*Retentie!$B$8</f>
        <v>4.725</v>
      </c>
      <c r="AD23" s="23" t="n">
        <f aca="false">ModelBear!$F$29*Retentie!$B$9</f>
        <v>4.284</v>
      </c>
      <c r="AE23" s="23" t="n">
        <f aca="false">ModelBear!$F$29*Retentie!$B$10</f>
        <v>3.906</v>
      </c>
      <c r="AF23" s="23" t="n">
        <f aca="false">ModelBear!$F$29*Retentie!$B$11</f>
        <v>3.654</v>
      </c>
      <c r="AG23" s="23" t="n">
        <f aca="false">ModelBear!$F$29*Retentie!$B$12</f>
        <v>3.402</v>
      </c>
      <c r="AH23" s="23" t="n">
        <f aca="false">ModelBear!$F$29*Retentie!$B$13</f>
        <v>3.213</v>
      </c>
      <c r="AI23" s="23" t="n">
        <f aca="false">ModelBear!$F$29*Retentie!$B$14</f>
        <v>3.024</v>
      </c>
      <c r="AJ23" s="23" t="n">
        <f aca="false">ModelBear!$F$29*Retentie!$B$15</f>
        <v>2.898</v>
      </c>
      <c r="AK23" s="23" t="n">
        <f aca="false">ModelBear!$F$29*Retentie!$B$16</f>
        <v>2.772</v>
      </c>
    </row>
    <row r="24" customFormat="false" ht="15" hidden="false" customHeight="false" outlineLevel="0" collapsed="false">
      <c r="A24" s="5" t="n">
        <v>23</v>
      </c>
      <c r="X24" s="23" t="n">
        <f aca="false">ModelBear!$F$30*Retentie!$B$2</f>
        <v>63</v>
      </c>
      <c r="Y24" s="23" t="n">
        <f aca="false">ModelBear!$F$30*Retentie!$B$3</f>
        <v>17.64</v>
      </c>
      <c r="Z24" s="23" t="n">
        <f aca="false">ModelBear!$F$30*Retentie!$B$4</f>
        <v>11.34</v>
      </c>
      <c r="AA24" s="23" t="n">
        <f aca="false">ModelBear!$F$30*Retentie!$B$5</f>
        <v>8.19</v>
      </c>
      <c r="AB24" s="23" t="n">
        <f aca="false">ModelBear!$F$30*Retentie!$B$6</f>
        <v>6.3</v>
      </c>
      <c r="AC24" s="23" t="n">
        <f aca="false">ModelBear!$F$30*Retentie!$B$7</f>
        <v>5.355</v>
      </c>
      <c r="AD24" s="23" t="n">
        <f aca="false">ModelBear!$F$30*Retentie!$B$8</f>
        <v>4.725</v>
      </c>
      <c r="AE24" s="23" t="n">
        <f aca="false">ModelBear!$F$30*Retentie!$B$9</f>
        <v>4.284</v>
      </c>
      <c r="AF24" s="23" t="n">
        <f aca="false">ModelBear!$F$30*Retentie!$B$10</f>
        <v>3.906</v>
      </c>
      <c r="AG24" s="23" t="n">
        <f aca="false">ModelBear!$F$30*Retentie!$B$11</f>
        <v>3.654</v>
      </c>
      <c r="AH24" s="23" t="n">
        <f aca="false">ModelBear!$F$30*Retentie!$B$12</f>
        <v>3.402</v>
      </c>
      <c r="AI24" s="23" t="n">
        <f aca="false">ModelBear!$F$30*Retentie!$B$13</f>
        <v>3.213</v>
      </c>
      <c r="AJ24" s="23" t="n">
        <f aca="false">ModelBear!$F$30*Retentie!$B$14</f>
        <v>3.024</v>
      </c>
      <c r="AK24" s="23" t="n">
        <f aca="false">ModelBear!$F$30*Retentie!$B$15</f>
        <v>2.898</v>
      </c>
    </row>
    <row r="25" customFormat="false" ht="15" hidden="false" customHeight="false" outlineLevel="0" collapsed="false">
      <c r="A25" s="5" t="n">
        <v>24</v>
      </c>
      <c r="Y25" s="23" t="n">
        <f aca="false">ModelBear!$F$31*Retentie!$B$2</f>
        <v>63</v>
      </c>
      <c r="Z25" s="23" t="n">
        <f aca="false">ModelBear!$F$31*Retentie!$B$3</f>
        <v>17.64</v>
      </c>
      <c r="AA25" s="23" t="n">
        <f aca="false">ModelBear!$F$31*Retentie!$B$4</f>
        <v>11.34</v>
      </c>
      <c r="AB25" s="23" t="n">
        <f aca="false">ModelBear!$F$31*Retentie!$B$5</f>
        <v>8.19</v>
      </c>
      <c r="AC25" s="23" t="n">
        <f aca="false">ModelBear!$F$31*Retentie!$B$6</f>
        <v>6.3</v>
      </c>
      <c r="AD25" s="23" t="n">
        <f aca="false">ModelBear!$F$31*Retentie!$B$7</f>
        <v>5.355</v>
      </c>
      <c r="AE25" s="23" t="n">
        <f aca="false">ModelBear!$F$31*Retentie!$B$8</f>
        <v>4.725</v>
      </c>
      <c r="AF25" s="23" t="n">
        <f aca="false">ModelBear!$F$31*Retentie!$B$9</f>
        <v>4.284</v>
      </c>
      <c r="AG25" s="23" t="n">
        <f aca="false">ModelBear!$F$31*Retentie!$B$10</f>
        <v>3.906</v>
      </c>
      <c r="AH25" s="23" t="n">
        <f aca="false">ModelBear!$F$31*Retentie!$B$11</f>
        <v>3.654</v>
      </c>
      <c r="AI25" s="23" t="n">
        <f aca="false">ModelBear!$F$31*Retentie!$B$12</f>
        <v>3.402</v>
      </c>
      <c r="AJ25" s="23" t="n">
        <f aca="false">ModelBear!$F$31*Retentie!$B$13</f>
        <v>3.213</v>
      </c>
      <c r="AK25" s="23" t="n">
        <f aca="false">ModelBear!$F$31*Retentie!$B$14</f>
        <v>3.024</v>
      </c>
    </row>
    <row r="26" customFormat="false" ht="15" hidden="false" customHeight="false" outlineLevel="0" collapsed="false">
      <c r="A26" s="5" t="n">
        <v>25</v>
      </c>
      <c r="Z26" s="23" t="n">
        <f aca="false">ModelBear!$F$32*Retentie!$B$2</f>
        <v>113.4</v>
      </c>
      <c r="AA26" s="23" t="n">
        <f aca="false">ModelBear!$F$32*Retentie!$B$3</f>
        <v>31.752</v>
      </c>
      <c r="AB26" s="23" t="n">
        <f aca="false">ModelBear!$F$32*Retentie!$B$4</f>
        <v>20.412</v>
      </c>
      <c r="AC26" s="23" t="n">
        <f aca="false">ModelBear!$F$32*Retentie!$B$5</f>
        <v>14.742</v>
      </c>
      <c r="AD26" s="23" t="n">
        <f aca="false">ModelBear!$F$32*Retentie!$B$6</f>
        <v>11.34</v>
      </c>
      <c r="AE26" s="23" t="n">
        <f aca="false">ModelBear!$F$32*Retentie!$B$7</f>
        <v>9.639</v>
      </c>
      <c r="AF26" s="23" t="n">
        <f aca="false">ModelBear!$F$32*Retentie!$B$8</f>
        <v>8.505</v>
      </c>
      <c r="AG26" s="23" t="n">
        <f aca="false">ModelBear!$F$32*Retentie!$B$9</f>
        <v>7.7112</v>
      </c>
      <c r="AH26" s="23" t="n">
        <f aca="false">ModelBear!$F$32*Retentie!$B$10</f>
        <v>7.0308</v>
      </c>
      <c r="AI26" s="23" t="n">
        <f aca="false">ModelBear!$F$32*Retentie!$B$11</f>
        <v>6.5772</v>
      </c>
      <c r="AJ26" s="23" t="n">
        <f aca="false">ModelBear!$F$32*Retentie!$B$12</f>
        <v>6.1236</v>
      </c>
      <c r="AK26" s="23" t="n">
        <f aca="false">ModelBear!$F$32*Retentie!$B$13</f>
        <v>5.7834</v>
      </c>
    </row>
    <row r="27" customFormat="false" ht="15" hidden="false" customHeight="false" outlineLevel="0" collapsed="false">
      <c r="A27" s="5" t="n">
        <v>26</v>
      </c>
      <c r="AA27" s="23" t="n">
        <f aca="false">ModelBear!$F$33*Retentie!$B$2</f>
        <v>63</v>
      </c>
      <c r="AB27" s="23" t="n">
        <f aca="false">ModelBear!$F$33*Retentie!$B$3</f>
        <v>17.64</v>
      </c>
      <c r="AC27" s="23" t="n">
        <f aca="false">ModelBear!$F$33*Retentie!$B$4</f>
        <v>11.34</v>
      </c>
      <c r="AD27" s="23" t="n">
        <f aca="false">ModelBear!$F$33*Retentie!$B$5</f>
        <v>8.19</v>
      </c>
      <c r="AE27" s="23" t="n">
        <f aca="false">ModelBear!$F$33*Retentie!$B$6</f>
        <v>6.3</v>
      </c>
      <c r="AF27" s="23" t="n">
        <f aca="false">ModelBear!$F$33*Retentie!$B$7</f>
        <v>5.355</v>
      </c>
      <c r="AG27" s="23" t="n">
        <f aca="false">ModelBear!$F$33*Retentie!$B$8</f>
        <v>4.725</v>
      </c>
      <c r="AH27" s="23" t="n">
        <f aca="false">ModelBear!$F$33*Retentie!$B$9</f>
        <v>4.284</v>
      </c>
      <c r="AI27" s="23" t="n">
        <f aca="false">ModelBear!$F$33*Retentie!$B$10</f>
        <v>3.906</v>
      </c>
      <c r="AJ27" s="23" t="n">
        <f aca="false">ModelBear!$F$33*Retentie!$B$11</f>
        <v>3.654</v>
      </c>
      <c r="AK27" s="23" t="n">
        <f aca="false">ModelBear!$F$33*Retentie!$B$12</f>
        <v>3.402</v>
      </c>
    </row>
    <row r="28" customFormat="false" ht="15" hidden="false" customHeight="false" outlineLevel="0" collapsed="false">
      <c r="A28" s="5" t="n">
        <v>27</v>
      </c>
      <c r="AB28" s="23" t="n">
        <f aca="false">ModelBear!$F$34*Retentie!$B$2</f>
        <v>63</v>
      </c>
      <c r="AC28" s="23" t="n">
        <f aca="false">ModelBear!$F$34*Retentie!$B$3</f>
        <v>17.64</v>
      </c>
      <c r="AD28" s="23" t="n">
        <f aca="false">ModelBear!$F$34*Retentie!$B$4</f>
        <v>11.34</v>
      </c>
      <c r="AE28" s="23" t="n">
        <f aca="false">ModelBear!$F$34*Retentie!$B$5</f>
        <v>8.19</v>
      </c>
      <c r="AF28" s="23" t="n">
        <f aca="false">ModelBear!$F$34*Retentie!$B$6</f>
        <v>6.3</v>
      </c>
      <c r="AG28" s="23" t="n">
        <f aca="false">ModelBear!$F$34*Retentie!$B$7</f>
        <v>5.355</v>
      </c>
      <c r="AH28" s="23" t="n">
        <f aca="false">ModelBear!$F$34*Retentie!$B$8</f>
        <v>4.725</v>
      </c>
      <c r="AI28" s="23" t="n">
        <f aca="false">ModelBear!$F$34*Retentie!$B$9</f>
        <v>4.284</v>
      </c>
      <c r="AJ28" s="23" t="n">
        <f aca="false">ModelBear!$F$34*Retentie!$B$10</f>
        <v>3.906</v>
      </c>
      <c r="AK28" s="23" t="n">
        <f aca="false">ModelBear!$F$34*Retentie!$B$11</f>
        <v>3.654</v>
      </c>
    </row>
    <row r="29" customFormat="false" ht="15" hidden="false" customHeight="false" outlineLevel="0" collapsed="false">
      <c r="A29" s="5" t="n">
        <v>28</v>
      </c>
      <c r="AC29" s="23" t="n">
        <f aca="false">ModelBear!$F$35*Retentie!$B$2</f>
        <v>63</v>
      </c>
      <c r="AD29" s="23" t="n">
        <f aca="false">ModelBear!$F$35*Retentie!$B$3</f>
        <v>17.64</v>
      </c>
      <c r="AE29" s="23" t="n">
        <f aca="false">ModelBear!$F$35*Retentie!$B$4</f>
        <v>11.34</v>
      </c>
      <c r="AF29" s="23" t="n">
        <f aca="false">ModelBear!$F$35*Retentie!$B$5</f>
        <v>8.19</v>
      </c>
      <c r="AG29" s="23" t="n">
        <f aca="false">ModelBear!$F$35*Retentie!$B$6</f>
        <v>6.3</v>
      </c>
      <c r="AH29" s="23" t="n">
        <f aca="false">ModelBear!$F$35*Retentie!$B$7</f>
        <v>5.355</v>
      </c>
      <c r="AI29" s="23" t="n">
        <f aca="false">ModelBear!$F$35*Retentie!$B$8</f>
        <v>4.725</v>
      </c>
      <c r="AJ29" s="23" t="n">
        <f aca="false">ModelBear!$F$35*Retentie!$B$9</f>
        <v>4.284</v>
      </c>
      <c r="AK29" s="23" t="n">
        <f aca="false">ModelBear!$F$35*Retentie!$B$10</f>
        <v>3.906</v>
      </c>
    </row>
    <row r="30" customFormat="false" ht="15" hidden="false" customHeight="false" outlineLevel="0" collapsed="false">
      <c r="A30" s="5" t="n">
        <v>29</v>
      </c>
      <c r="AD30" s="23" t="n">
        <f aca="false">ModelBear!$F$36*Retentie!$B$2</f>
        <v>63</v>
      </c>
      <c r="AE30" s="23" t="n">
        <f aca="false">ModelBear!$F$36*Retentie!$B$3</f>
        <v>17.64</v>
      </c>
      <c r="AF30" s="23" t="n">
        <f aca="false">ModelBear!$F$36*Retentie!$B$4</f>
        <v>11.34</v>
      </c>
      <c r="AG30" s="23" t="n">
        <f aca="false">ModelBear!$F$36*Retentie!$B$5</f>
        <v>8.19</v>
      </c>
      <c r="AH30" s="23" t="n">
        <f aca="false">ModelBear!$F$36*Retentie!$B$6</f>
        <v>6.3</v>
      </c>
      <c r="AI30" s="23" t="n">
        <f aca="false">ModelBear!$F$36*Retentie!$B$7</f>
        <v>5.355</v>
      </c>
      <c r="AJ30" s="23" t="n">
        <f aca="false">ModelBear!$F$36*Retentie!$B$8</f>
        <v>4.725</v>
      </c>
      <c r="AK30" s="23" t="n">
        <f aca="false">ModelBear!$F$36*Retentie!$B$9</f>
        <v>4.284</v>
      </c>
    </row>
    <row r="31" customFormat="false" ht="15" hidden="false" customHeight="false" outlineLevel="0" collapsed="false">
      <c r="A31" s="5" t="n">
        <v>30</v>
      </c>
      <c r="AE31" s="23" t="n">
        <f aca="false">ModelBear!$F$37*Retentie!$B$2</f>
        <v>63</v>
      </c>
      <c r="AF31" s="23" t="n">
        <f aca="false">ModelBear!$F$37*Retentie!$B$3</f>
        <v>17.64</v>
      </c>
      <c r="AG31" s="23" t="n">
        <f aca="false">ModelBear!$F$37*Retentie!$B$4</f>
        <v>11.34</v>
      </c>
      <c r="AH31" s="23" t="n">
        <f aca="false">ModelBear!$F$37*Retentie!$B$5</f>
        <v>8.19</v>
      </c>
      <c r="AI31" s="23" t="n">
        <f aca="false">ModelBear!$F$37*Retentie!$B$6</f>
        <v>6.3</v>
      </c>
      <c r="AJ31" s="23" t="n">
        <f aca="false">ModelBear!$F$37*Retentie!$B$7</f>
        <v>5.355</v>
      </c>
      <c r="AK31" s="23" t="n">
        <f aca="false">ModelBear!$F$37*Retentie!$B$8</f>
        <v>4.725</v>
      </c>
    </row>
    <row r="32" customFormat="false" ht="15" hidden="false" customHeight="false" outlineLevel="0" collapsed="false">
      <c r="A32" s="5" t="n">
        <v>31</v>
      </c>
      <c r="AF32" s="23" t="n">
        <f aca="false">ModelBear!$F$38*Retentie!$B$2</f>
        <v>63</v>
      </c>
      <c r="AG32" s="23" t="n">
        <f aca="false">ModelBear!$F$38*Retentie!$B$3</f>
        <v>17.64</v>
      </c>
      <c r="AH32" s="23" t="n">
        <f aca="false">ModelBear!$F$38*Retentie!$B$4</f>
        <v>11.34</v>
      </c>
      <c r="AI32" s="23" t="n">
        <f aca="false">ModelBear!$F$38*Retentie!$B$5</f>
        <v>8.19</v>
      </c>
      <c r="AJ32" s="23" t="n">
        <f aca="false">ModelBear!$F$38*Retentie!$B$6</f>
        <v>6.3</v>
      </c>
      <c r="AK32" s="23" t="n">
        <f aca="false">ModelBear!$F$38*Retentie!$B$7</f>
        <v>5.355</v>
      </c>
    </row>
    <row r="33" customFormat="false" ht="15" hidden="false" customHeight="false" outlineLevel="0" collapsed="false">
      <c r="A33" s="5" t="n">
        <v>32</v>
      </c>
      <c r="AG33" s="23" t="n">
        <f aca="false">ModelBear!$F$39*Retentie!$B$2</f>
        <v>63</v>
      </c>
      <c r="AH33" s="23" t="n">
        <f aca="false">ModelBear!$F$39*Retentie!$B$3</f>
        <v>17.64</v>
      </c>
      <c r="AI33" s="23" t="n">
        <f aca="false">ModelBear!$F$39*Retentie!$B$4</f>
        <v>11.34</v>
      </c>
      <c r="AJ33" s="23" t="n">
        <f aca="false">ModelBear!$F$39*Retentie!$B$5</f>
        <v>8.19</v>
      </c>
      <c r="AK33" s="23" t="n">
        <f aca="false">ModelBear!$F$39*Retentie!$B$6</f>
        <v>6.3</v>
      </c>
    </row>
    <row r="34" customFormat="false" ht="15" hidden="false" customHeight="false" outlineLevel="0" collapsed="false">
      <c r="A34" s="5" t="n">
        <v>33</v>
      </c>
      <c r="AH34" s="23" t="n">
        <f aca="false">ModelBear!$F$40*Retentie!$B$2</f>
        <v>63</v>
      </c>
      <c r="AI34" s="23" t="n">
        <f aca="false">ModelBear!$F$40*Retentie!$B$3</f>
        <v>17.64</v>
      </c>
      <c r="AJ34" s="23" t="n">
        <f aca="false">ModelBear!$F$40*Retentie!$B$4</f>
        <v>11.34</v>
      </c>
      <c r="AK34" s="23" t="n">
        <f aca="false">ModelBear!$F$40*Retentie!$B$5</f>
        <v>8.19</v>
      </c>
    </row>
    <row r="35" customFormat="false" ht="15" hidden="false" customHeight="false" outlineLevel="0" collapsed="false">
      <c r="A35" s="5" t="n">
        <v>34</v>
      </c>
      <c r="AI35" s="23" t="n">
        <f aca="false">ModelBear!$F$41*Retentie!$B$2</f>
        <v>63</v>
      </c>
      <c r="AJ35" s="23" t="n">
        <f aca="false">ModelBear!$F$41*Retentie!$B$3</f>
        <v>17.64</v>
      </c>
      <c r="AK35" s="23" t="n">
        <f aca="false">ModelBear!$F$41*Retentie!$B$4</f>
        <v>11.34</v>
      </c>
    </row>
    <row r="36" customFormat="false" ht="15" hidden="false" customHeight="false" outlineLevel="0" collapsed="false">
      <c r="A36" s="5" t="n">
        <v>35</v>
      </c>
      <c r="AJ36" s="23" t="n">
        <f aca="false">ModelBear!$F$42*Retentie!$B$2</f>
        <v>63</v>
      </c>
      <c r="AK36" s="23" t="n">
        <f aca="false">ModelBear!$F$42*Retentie!$B$3</f>
        <v>17.64</v>
      </c>
    </row>
    <row r="37" customFormat="false" ht="15" hidden="false" customHeight="false" outlineLevel="0" collapsed="false">
      <c r="A37" s="5" t="n">
        <v>36</v>
      </c>
      <c r="AK37" s="23" t="n">
        <f aca="false">ModelBear!$F$43*Retentie!$B$2</f>
        <v>63</v>
      </c>
    </row>
    <row r="38" customFormat="false" ht="15" hidden="false" customHeight="false" outlineLevel="0" collapsed="false">
      <c r="A38" s="5" t="s">
        <v>172</v>
      </c>
      <c r="B38" s="29" t="n">
        <f aca="false">SUM(B2:B37)</f>
        <v>225</v>
      </c>
      <c r="C38" s="29" t="n">
        <f aca="false">SUM(C2:C37)</f>
        <v>126</v>
      </c>
      <c r="D38" s="29" t="n">
        <f aca="false">SUM(D2:D37)</f>
        <v>121.14</v>
      </c>
      <c r="E38" s="29" t="n">
        <f aca="false">SUM(E2:E37)</f>
        <v>121.23</v>
      </c>
      <c r="F38" s="29" t="n">
        <f aca="false">SUM(F2:F37)</f>
        <v>122.67</v>
      </c>
      <c r="G38" s="29" t="n">
        <f aca="false">SUM(G2:G37)</f>
        <v>125.595</v>
      </c>
      <c r="H38" s="29" t="n">
        <f aca="false">SUM(H2:H37)</f>
        <v>128.7</v>
      </c>
      <c r="I38" s="29" t="n">
        <f aca="false">SUM(I2:I37)</f>
        <v>131.85</v>
      </c>
      <c r="J38" s="29" t="n">
        <f aca="false">SUM(J2:J37)</f>
        <v>134.784</v>
      </c>
      <c r="K38" s="29" t="n">
        <f aca="false">SUM(K2:K37)</f>
        <v>137.79</v>
      </c>
      <c r="L38" s="29" t="n">
        <f aca="false">SUM(L2:L37)</f>
        <v>140.544</v>
      </c>
      <c r="M38" s="29" t="n">
        <f aca="false">SUM(M2:M37)</f>
        <v>143.271</v>
      </c>
      <c r="N38" s="29" t="n">
        <f aca="false">SUM(N2:N37)</f>
        <v>196.209</v>
      </c>
      <c r="O38" s="29" t="n">
        <f aca="false">SUM(O2:O37)</f>
        <v>162.495</v>
      </c>
      <c r="P38" s="29" t="n">
        <f aca="false">SUM(P2:P37)</f>
        <v>159.903</v>
      </c>
      <c r="Q38" s="29" t="n">
        <f aca="false">SUM(Q2:Q37)</f>
        <v>159.93</v>
      </c>
      <c r="R38" s="29" t="n">
        <f aca="false">SUM(R2:R37)</f>
        <v>160.902</v>
      </c>
      <c r="S38" s="29" t="n">
        <f aca="false">SUM(S2:S37)</f>
        <v>162.567</v>
      </c>
      <c r="T38" s="29" t="n">
        <f aca="false">SUM(T2:T37)</f>
        <v>164.421</v>
      </c>
      <c r="U38" s="29" t="n">
        <f aca="false">SUM(U2:U37)</f>
        <v>166.3632</v>
      </c>
      <c r="V38" s="29" t="n">
        <f aca="false">SUM(V2:V37)</f>
        <v>168.2928</v>
      </c>
      <c r="W38" s="29" t="n">
        <f aca="false">SUM(W2:W37)</f>
        <v>170.2602</v>
      </c>
      <c r="X38" s="29" t="n">
        <f aca="false">SUM(X2:X37)</f>
        <v>172.1646</v>
      </c>
      <c r="Y38" s="29" t="n">
        <f aca="false">SUM(Y2:Y37)</f>
        <v>174.0564</v>
      </c>
      <c r="Z38" s="29" t="n">
        <f aca="false">SUM(Z2:Z37)</f>
        <v>226.2852</v>
      </c>
      <c r="AA38" s="29" t="n">
        <f aca="false">SUM(AA2:AA37)</f>
        <v>191.8134</v>
      </c>
      <c r="AB38" s="29" t="n">
        <f aca="false">SUM(AB2:AB37)</f>
        <v>188.5266</v>
      </c>
      <c r="AC38" s="29" t="n">
        <f aca="false">SUM(AC2:AC37)</f>
        <v>187.7472</v>
      </c>
      <c r="AD38" s="29" t="n">
        <f aca="false">SUM(AD2:AD37)</f>
        <v>187.9128</v>
      </c>
      <c r="AE38" s="29" t="n">
        <f aca="false">SUM(AE2:AE37)</f>
        <v>188.9964</v>
      </c>
      <c r="AF38" s="29" t="n">
        <f aca="false">SUM(AF2:AF37)</f>
        <v>190.107</v>
      </c>
      <c r="AG38" s="29" t="n">
        <f aca="false">SUM(AG2:AG37)</f>
        <v>191.5308</v>
      </c>
      <c r="AH38" s="29" t="n">
        <f aca="false">SUM(AH2:AH37)</f>
        <v>192.78</v>
      </c>
      <c r="AI38" s="29" t="n">
        <f aca="false">SUM(AI2:AI37)</f>
        <v>194.292</v>
      </c>
      <c r="AJ38" s="29" t="n">
        <f aca="false">SUM(AJ2:AJ37)</f>
        <v>195.579</v>
      </c>
      <c r="AK38" s="29" t="n">
        <f aca="false">SUM(AK2:AK37)</f>
        <v>197.0784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22" min="3" style="0" width="11"/>
  </cols>
  <sheetData>
    <row r="1" customFormat="false" ht="16.15" hidden="false" customHeight="false" outlineLevel="0" collapsed="false">
      <c r="A1" s="10" t="s">
        <v>173</v>
      </c>
    </row>
    <row r="2" customFormat="false" ht="15" hidden="false" customHeight="false" outlineLevel="0" collapsed="false">
      <c r="A2" s="20" t="s">
        <v>93</v>
      </c>
    </row>
    <row r="7" customFormat="false" ht="23.85" hidden="false" customHeight="false" outlineLevel="0" collapsed="false">
      <c r="A7" s="21" t="s">
        <v>94</v>
      </c>
      <c r="B7" s="21" t="s">
        <v>95</v>
      </c>
      <c r="C7" s="21" t="s">
        <v>96</v>
      </c>
      <c r="D7" s="21" t="s">
        <v>97</v>
      </c>
      <c r="E7" s="21" t="s">
        <v>98</v>
      </c>
      <c r="F7" s="21" t="s">
        <v>99</v>
      </c>
      <c r="G7" s="21" t="s">
        <v>100</v>
      </c>
      <c r="H7" s="21" t="s">
        <v>101</v>
      </c>
      <c r="I7" s="21" t="s">
        <v>102</v>
      </c>
      <c r="J7" s="21" t="s">
        <v>103</v>
      </c>
      <c r="K7" s="21" t="s">
        <v>104</v>
      </c>
      <c r="L7" s="21" t="s">
        <v>105</v>
      </c>
      <c r="M7" s="21" t="s">
        <v>106</v>
      </c>
      <c r="N7" s="21" t="s">
        <v>107</v>
      </c>
      <c r="O7" s="21" t="s">
        <v>108</v>
      </c>
      <c r="P7" s="21" t="s">
        <v>109</v>
      </c>
      <c r="Q7" s="21" t="s">
        <v>110</v>
      </c>
      <c r="R7" s="21" t="s">
        <v>111</v>
      </c>
      <c r="S7" s="21" t="s">
        <v>112</v>
      </c>
      <c r="T7" s="21" t="s">
        <v>113</v>
      </c>
      <c r="U7" s="21" t="s">
        <v>114</v>
      </c>
      <c r="V7" s="21" t="s">
        <v>115</v>
      </c>
    </row>
    <row r="8" customFormat="false" ht="15" hidden="false" customHeight="false" outlineLevel="0" collapsed="false">
      <c r="A8" s="7" t="n">
        <v>1</v>
      </c>
      <c r="B8" s="7" t="s">
        <v>116</v>
      </c>
      <c r="C8" s="22" t="n">
        <f aca="false">Aannames!$C$4</f>
        <v>900</v>
      </c>
      <c r="D8" s="22" t="n">
        <f aca="false">IF(A8&gt;=Aannames!$C$24,Aannames!$C$26*(1+Aannames!$C$6)^(A8-Aannames!$C$24),0)</f>
        <v>0</v>
      </c>
      <c r="E8" s="22" t="n">
        <f aca="false">C8+D8</f>
        <v>900</v>
      </c>
      <c r="F8" s="22" t="n">
        <f aca="false">E8*Aannames!$C$8</f>
        <v>495</v>
      </c>
      <c r="G8" s="23" t="n">
        <f aca="false">CohortBasis!B$38</f>
        <v>495</v>
      </c>
      <c r="H8" s="22" t="n">
        <f aca="false">G8*Aannames!$C$9</f>
        <v>12.375</v>
      </c>
      <c r="I8" s="24" t="n">
        <f aca="false">H8*Aannames!$C$10*(1-Aannames!$C$11)</f>
        <v>47.2291875</v>
      </c>
      <c r="J8" s="25" t="n">
        <f aca="false">MIN(IF(A8&gt;=Aannames!$C$14,Aannames!$C$15*Aannames!$C$16,0),(Aannames!$C$19+IF(A8&gt;=Aannames!$C$24,Aannames!$C$25,0))*Aannames!$C$20)</f>
        <v>0</v>
      </c>
      <c r="K8" s="24" t="n">
        <f aca="false">J8*Aannames!$C$17</f>
        <v>0</v>
      </c>
      <c r="L8" s="24" t="n">
        <f aca="false">IF(AND(A8&gt;12,MOD(A8-1,12)=0),Aannames!$C$37,0)</f>
        <v>0</v>
      </c>
      <c r="M8" s="24" t="n">
        <f aca="false">I8+K8+L8</f>
        <v>47.2291875</v>
      </c>
      <c r="N8" s="24" t="n">
        <f aca="false">Aannames!$C$28+G8*Aannames!$C$29</f>
        <v>69.9</v>
      </c>
      <c r="O8" s="24" t="n">
        <f aca="false">Aannames!$C$30*(1+IF(A8&gt;=Aannames!$C$24,1,0))</f>
        <v>80</v>
      </c>
      <c r="P8" s="24" t="n">
        <f aca="false">Aannames!$C$31</f>
        <v>70</v>
      </c>
      <c r="Q8" s="24" t="n">
        <f aca="false">IF(MOD(A8-1,12)=0,Aannames!$C$32,0)</f>
        <v>150</v>
      </c>
      <c r="R8" s="24" t="n">
        <f aca="false">Aannames!$C$33+IF(MOD(A8-1,12)=0,Aannames!$C$34,0)</f>
        <v>950</v>
      </c>
      <c r="S8" s="24" t="n">
        <f aca="false">IF(A8=1,Aannames!$C$35,0)</f>
        <v>400</v>
      </c>
      <c r="T8" s="24" t="n">
        <f aca="false">SUM(N8:S8)</f>
        <v>1719.9</v>
      </c>
      <c r="U8" s="24" t="n">
        <f aca="false">M8-T8</f>
        <v>-1672.6708125</v>
      </c>
      <c r="V8" s="24" t="n">
        <f aca="false">U8</f>
        <v>-1672.6708125</v>
      </c>
    </row>
    <row r="9" customFormat="false" ht="15" hidden="false" customHeight="false" outlineLevel="0" collapsed="false">
      <c r="A9" s="7" t="n">
        <v>2</v>
      </c>
      <c r="B9" s="7" t="s">
        <v>117</v>
      </c>
      <c r="C9" s="22" t="n">
        <f aca="false">Aannames!$C$5*(1+Aannames!$C$6)^(A9-2)*(1+IF(MOD(A9-1,12)=0,Aannames!$C$7,0))</f>
        <v>260</v>
      </c>
      <c r="D9" s="22" t="n">
        <f aca="false">IF(A9&gt;=Aannames!$C$24,Aannames!$C$26*(1+Aannames!$C$6)^(A9-Aannames!$C$24),0)</f>
        <v>0</v>
      </c>
      <c r="E9" s="22" t="n">
        <f aca="false">C9+D9</f>
        <v>260</v>
      </c>
      <c r="F9" s="22" t="n">
        <f aca="false">E9*Aannames!$C$8</f>
        <v>143</v>
      </c>
      <c r="G9" s="23" t="n">
        <f aca="false">CohortBasis!C$38</f>
        <v>341</v>
      </c>
      <c r="H9" s="22" t="n">
        <f aca="false">G9*Aannames!$C$9</f>
        <v>8.525</v>
      </c>
      <c r="I9" s="24" t="n">
        <f aca="false">H9*Aannames!$C$10*(1-Aannames!$C$11)</f>
        <v>32.5356625</v>
      </c>
      <c r="J9" s="25" t="n">
        <f aca="false">MIN(J8*(1-Aannames!$C$18)+IF(A9&gt;=Aannames!$C$14,Aannames!$C$15*Aannames!$C$16,0),(Aannames!$C$19+IF(A9&gt;=Aannames!$C$24,Aannames!$C$25,0))*Aannames!$C$20)</f>
        <v>0</v>
      </c>
      <c r="K9" s="24" t="n">
        <f aca="false">J9*Aannames!$C$17</f>
        <v>0</v>
      </c>
      <c r="L9" s="24" t="n">
        <f aca="false">IF(AND(A9&gt;12,MOD(A9-1,12)=0),Aannames!$C$37,0)</f>
        <v>0</v>
      </c>
      <c r="M9" s="24" t="n">
        <f aca="false">I9+K9+L9</f>
        <v>32.5356625</v>
      </c>
      <c r="N9" s="24" t="n">
        <f aca="false">Aannames!$C$28+G9*Aannames!$C$29</f>
        <v>66.82</v>
      </c>
      <c r="O9" s="24" t="n">
        <f aca="false">Aannames!$C$30*(1+IF(A9&gt;=Aannames!$C$24,1,0))</f>
        <v>80</v>
      </c>
      <c r="P9" s="24" t="n">
        <f aca="false">Aannames!$C$31</f>
        <v>70</v>
      </c>
      <c r="Q9" s="24" t="n">
        <f aca="false">IF(MOD(A9-1,12)=0,Aannames!$C$32,0)</f>
        <v>0</v>
      </c>
      <c r="R9" s="24" t="n">
        <f aca="false">Aannames!$C$33+IF(MOD(A9-1,12)=0,Aannames!$C$34,0)</f>
        <v>150</v>
      </c>
      <c r="S9" s="24" t="n">
        <f aca="false">IF(A9=1,Aannames!$C$35,0)</f>
        <v>0</v>
      </c>
      <c r="T9" s="24" t="n">
        <f aca="false">SUM(N9:S9)</f>
        <v>366.82</v>
      </c>
      <c r="U9" s="24" t="n">
        <f aca="false">M9-T9</f>
        <v>-334.2843375</v>
      </c>
      <c r="V9" s="24" t="n">
        <f aca="false">V8+U9</f>
        <v>-2006.95515</v>
      </c>
    </row>
    <row r="10" customFormat="false" ht="15" hidden="false" customHeight="false" outlineLevel="0" collapsed="false">
      <c r="A10" s="7" t="n">
        <v>3</v>
      </c>
      <c r="B10" s="7" t="s">
        <v>118</v>
      </c>
      <c r="C10" s="22" t="n">
        <f aca="false">Aannames!$C$5*(1+Aannames!$C$6)^(A10-2)*(1+IF(MOD(A10-1,12)=0,Aannames!$C$7,0))</f>
        <v>270.4</v>
      </c>
      <c r="D10" s="22" t="n">
        <f aca="false">IF(A10&gt;=Aannames!$C$24,Aannames!$C$26*(1+Aannames!$C$6)^(A10-Aannames!$C$24),0)</f>
        <v>0</v>
      </c>
      <c r="E10" s="22" t="n">
        <f aca="false">C10+D10</f>
        <v>270.4</v>
      </c>
      <c r="F10" s="22" t="n">
        <f aca="false">E10*Aannames!$C$8</f>
        <v>148.72</v>
      </c>
      <c r="G10" s="23" t="n">
        <f aca="false">CohortBasis!D$38</f>
        <v>354.42</v>
      </c>
      <c r="H10" s="22" t="n">
        <f aca="false">G10*Aannames!$C$9</f>
        <v>8.8605</v>
      </c>
      <c r="I10" s="24" t="n">
        <f aca="false">H10*Aannames!$C$10*(1-Aannames!$C$11)</f>
        <v>33.81609825</v>
      </c>
      <c r="J10" s="25" t="n">
        <f aca="false">MIN(J9*(1-Aannames!$C$18)+IF(A10&gt;=Aannames!$C$14,Aannames!$C$15*Aannames!$C$16,0),(Aannames!$C$19+IF(A10&gt;=Aannames!$C$24,Aannames!$C$25,0))*Aannames!$C$20)</f>
        <v>0</v>
      </c>
      <c r="K10" s="24" t="n">
        <f aca="false">J10*Aannames!$C$17</f>
        <v>0</v>
      </c>
      <c r="L10" s="24" t="n">
        <f aca="false">IF(AND(A10&gt;12,MOD(A10-1,12)=0),Aannames!$C$37,0)</f>
        <v>0</v>
      </c>
      <c r="M10" s="24" t="n">
        <f aca="false">I10+K10+L10</f>
        <v>33.81609825</v>
      </c>
      <c r="N10" s="24" t="n">
        <f aca="false">Aannames!$C$28+G10*Aannames!$C$29</f>
        <v>67.0884</v>
      </c>
      <c r="O10" s="24" t="n">
        <f aca="false">Aannames!$C$30*(1+IF(A10&gt;=Aannames!$C$24,1,0))</f>
        <v>80</v>
      </c>
      <c r="P10" s="24" t="n">
        <f aca="false">Aannames!$C$31</f>
        <v>70</v>
      </c>
      <c r="Q10" s="24" t="n">
        <f aca="false">IF(MOD(A10-1,12)=0,Aannames!$C$32,0)</f>
        <v>0</v>
      </c>
      <c r="R10" s="24" t="n">
        <f aca="false">Aannames!$C$33+IF(MOD(A10-1,12)=0,Aannames!$C$34,0)</f>
        <v>150</v>
      </c>
      <c r="S10" s="24" t="n">
        <f aca="false">IF(A10=1,Aannames!$C$35,0)</f>
        <v>0</v>
      </c>
      <c r="T10" s="24" t="n">
        <f aca="false">SUM(N10:S10)</f>
        <v>367.0884</v>
      </c>
      <c r="U10" s="24" t="n">
        <f aca="false">M10-T10</f>
        <v>-333.27230175</v>
      </c>
      <c r="V10" s="24" t="n">
        <f aca="false">V9+U10</f>
        <v>-2340.22745175</v>
      </c>
    </row>
    <row r="11" customFormat="false" ht="15" hidden="false" customHeight="false" outlineLevel="0" collapsed="false">
      <c r="A11" s="7" t="n">
        <v>4</v>
      </c>
      <c r="B11" s="7" t="s">
        <v>119</v>
      </c>
      <c r="C11" s="22" t="n">
        <f aca="false">Aannames!$C$5*(1+Aannames!$C$6)^(A11-2)*(1+IF(MOD(A11-1,12)=0,Aannames!$C$7,0))</f>
        <v>281.216</v>
      </c>
      <c r="D11" s="22" t="n">
        <f aca="false">IF(A11&gt;=Aannames!$C$24,Aannames!$C$26*(1+Aannames!$C$6)^(A11-Aannames!$C$24),0)</f>
        <v>0</v>
      </c>
      <c r="E11" s="22" t="n">
        <f aca="false">C11+D11</f>
        <v>281.216</v>
      </c>
      <c r="F11" s="22" t="n">
        <f aca="false">E11*Aannames!$C$8</f>
        <v>154.6688</v>
      </c>
      <c r="G11" s="23" t="n">
        <f aca="false">CohortBasis!E$38</f>
        <v>375.8568</v>
      </c>
      <c r="H11" s="22" t="n">
        <f aca="false">G11*Aannames!$C$9</f>
        <v>9.39642</v>
      </c>
      <c r="I11" s="24" t="n">
        <f aca="false">H11*Aannames!$C$10*(1-Aannames!$C$11)</f>
        <v>35.86143693</v>
      </c>
      <c r="J11" s="25" t="n">
        <f aca="false">MIN(J10*(1-Aannames!$C$18)+IF(A11&gt;=Aannames!$C$14,Aannames!$C$15*Aannames!$C$16,0),(Aannames!$C$19+IF(A11&gt;=Aannames!$C$24,Aannames!$C$25,0))*Aannames!$C$20)</f>
        <v>0</v>
      </c>
      <c r="K11" s="24" t="n">
        <f aca="false">J11*Aannames!$C$17</f>
        <v>0</v>
      </c>
      <c r="L11" s="24" t="n">
        <f aca="false">IF(AND(A11&gt;12,MOD(A11-1,12)=0),Aannames!$C$37,0)</f>
        <v>0</v>
      </c>
      <c r="M11" s="24" t="n">
        <f aca="false">I11+K11+L11</f>
        <v>35.86143693</v>
      </c>
      <c r="N11" s="24" t="n">
        <f aca="false">Aannames!$C$28+G11*Aannames!$C$29</f>
        <v>67.517136</v>
      </c>
      <c r="O11" s="24" t="n">
        <f aca="false">Aannames!$C$30*(1+IF(A11&gt;=Aannames!$C$24,1,0))</f>
        <v>80</v>
      </c>
      <c r="P11" s="24" t="n">
        <f aca="false">Aannames!$C$31</f>
        <v>70</v>
      </c>
      <c r="Q11" s="24" t="n">
        <f aca="false">IF(MOD(A11-1,12)=0,Aannames!$C$32,0)</f>
        <v>0</v>
      </c>
      <c r="R11" s="24" t="n">
        <f aca="false">Aannames!$C$33+IF(MOD(A11-1,12)=0,Aannames!$C$34,0)</f>
        <v>150</v>
      </c>
      <c r="S11" s="24" t="n">
        <f aca="false">IF(A11=1,Aannames!$C$35,0)</f>
        <v>0</v>
      </c>
      <c r="T11" s="24" t="n">
        <f aca="false">SUM(N11:S11)</f>
        <v>367.517136</v>
      </c>
      <c r="U11" s="24" t="n">
        <f aca="false">M11-T11</f>
        <v>-331.65569907</v>
      </c>
      <c r="V11" s="24" t="n">
        <f aca="false">V10+U11</f>
        <v>-2671.88315082</v>
      </c>
    </row>
    <row r="12" customFormat="false" ht="15" hidden="false" customHeight="false" outlineLevel="0" collapsed="false">
      <c r="A12" s="7" t="n">
        <v>5</v>
      </c>
      <c r="B12" s="7" t="s">
        <v>120</v>
      </c>
      <c r="C12" s="22" t="n">
        <f aca="false">Aannames!$C$5*(1+Aannames!$C$6)^(A12-2)*(1+IF(MOD(A12-1,12)=0,Aannames!$C$7,0))</f>
        <v>292.46464</v>
      </c>
      <c r="D12" s="22" t="n">
        <f aca="false">IF(A12&gt;=Aannames!$C$24,Aannames!$C$26*(1+Aannames!$C$6)^(A12-Aannames!$C$24),0)</f>
        <v>0</v>
      </c>
      <c r="E12" s="22" t="n">
        <f aca="false">C12+D12</f>
        <v>292.46464</v>
      </c>
      <c r="F12" s="22" t="n">
        <f aca="false">E12*Aannames!$C$8</f>
        <v>160.855552</v>
      </c>
      <c r="G12" s="23" t="n">
        <f aca="false">CohortBasis!F$38</f>
        <v>400.659072</v>
      </c>
      <c r="H12" s="22" t="n">
        <f aca="false">G12*Aannames!$C$9</f>
        <v>10.0164768</v>
      </c>
      <c r="I12" s="24" t="n">
        <f aca="false">H12*Aannames!$C$10*(1-Aannames!$C$11)</f>
        <v>38.2278837072</v>
      </c>
      <c r="J12" s="25" t="n">
        <f aca="false">MIN(J11*(1-Aannames!$C$18)+IF(A12&gt;=Aannames!$C$14,Aannames!$C$15*Aannames!$C$16,0),(Aannames!$C$19+IF(A12&gt;=Aannames!$C$24,Aannames!$C$25,0))*Aannames!$C$20)</f>
        <v>0</v>
      </c>
      <c r="K12" s="24" t="n">
        <f aca="false">J12*Aannames!$C$17</f>
        <v>0</v>
      </c>
      <c r="L12" s="24" t="n">
        <f aca="false">IF(AND(A12&gt;12,MOD(A12-1,12)=0),Aannames!$C$37,0)</f>
        <v>0</v>
      </c>
      <c r="M12" s="24" t="n">
        <f aca="false">I12+K12+L12</f>
        <v>38.2278837072</v>
      </c>
      <c r="N12" s="24" t="n">
        <f aca="false">Aannames!$C$28+G12*Aannames!$C$29</f>
        <v>68.01318144</v>
      </c>
      <c r="O12" s="24" t="n">
        <f aca="false">Aannames!$C$30*(1+IF(A12&gt;=Aannames!$C$24,1,0))</f>
        <v>80</v>
      </c>
      <c r="P12" s="24" t="n">
        <f aca="false">Aannames!$C$31</f>
        <v>70</v>
      </c>
      <c r="Q12" s="24" t="n">
        <f aca="false">IF(MOD(A12-1,12)=0,Aannames!$C$32,0)</f>
        <v>0</v>
      </c>
      <c r="R12" s="24" t="n">
        <f aca="false">Aannames!$C$33+IF(MOD(A12-1,12)=0,Aannames!$C$34,0)</f>
        <v>150</v>
      </c>
      <c r="S12" s="24" t="n">
        <f aca="false">IF(A12=1,Aannames!$C$35,0)</f>
        <v>0</v>
      </c>
      <c r="T12" s="24" t="n">
        <f aca="false">SUM(N12:S12)</f>
        <v>368.01318144</v>
      </c>
      <c r="U12" s="24" t="n">
        <f aca="false">M12-T12</f>
        <v>-329.7852977328</v>
      </c>
      <c r="V12" s="24" t="n">
        <f aca="false">V11+U12</f>
        <v>-3001.6684485528</v>
      </c>
    </row>
    <row r="13" customFormat="false" ht="15" hidden="false" customHeight="false" outlineLevel="0" collapsed="false">
      <c r="A13" s="7" t="n">
        <v>6</v>
      </c>
      <c r="B13" s="7" t="s">
        <v>121</v>
      </c>
      <c r="C13" s="22" t="n">
        <f aca="false">Aannames!$C$5*(1+Aannames!$C$6)^(A13-2)*(1+IF(MOD(A13-1,12)=0,Aannames!$C$7,0))</f>
        <v>304.1632256</v>
      </c>
      <c r="D13" s="22" t="n">
        <f aca="false">IF(A13&gt;=Aannames!$C$24,Aannames!$C$26*(1+Aannames!$C$6)^(A13-Aannames!$C$24),0)</f>
        <v>0</v>
      </c>
      <c r="E13" s="22" t="n">
        <f aca="false">C13+D13</f>
        <v>304.1632256</v>
      </c>
      <c r="F13" s="22" t="n">
        <f aca="false">E13*Aannames!$C$8</f>
        <v>167.28977408</v>
      </c>
      <c r="G13" s="23" t="n">
        <f aca="false">CohortBasis!G$38</f>
        <v>431.42543488</v>
      </c>
      <c r="H13" s="22" t="n">
        <f aca="false">G13*Aannames!$C$9</f>
        <v>10.785635872</v>
      </c>
      <c r="I13" s="24" t="n">
        <f aca="false">H13*Aannames!$C$10*(1-Aannames!$C$11)</f>
        <v>41.163379305488</v>
      </c>
      <c r="J13" s="25" t="n">
        <f aca="false">MIN(J12*(1-Aannames!$C$18)+IF(A13&gt;=Aannames!$C$14,Aannames!$C$15*Aannames!$C$16,0),(Aannames!$C$19+IF(A13&gt;=Aannames!$C$24,Aannames!$C$25,0))*Aannames!$C$20)</f>
        <v>0</v>
      </c>
      <c r="K13" s="24" t="n">
        <f aca="false">J13*Aannames!$C$17</f>
        <v>0</v>
      </c>
      <c r="L13" s="24" t="n">
        <f aca="false">IF(AND(A13&gt;12,MOD(A13-1,12)=0),Aannames!$C$37,0)</f>
        <v>0</v>
      </c>
      <c r="M13" s="24" t="n">
        <f aca="false">I13+K13+L13</f>
        <v>41.163379305488</v>
      </c>
      <c r="N13" s="24" t="n">
        <f aca="false">Aannames!$C$28+G13*Aannames!$C$29</f>
        <v>68.6285086976</v>
      </c>
      <c r="O13" s="24" t="n">
        <f aca="false">Aannames!$C$30*(1+IF(A13&gt;=Aannames!$C$24,1,0))</f>
        <v>80</v>
      </c>
      <c r="P13" s="24" t="n">
        <f aca="false">Aannames!$C$31</f>
        <v>70</v>
      </c>
      <c r="Q13" s="24" t="n">
        <f aca="false">IF(MOD(A13-1,12)=0,Aannames!$C$32,0)</f>
        <v>0</v>
      </c>
      <c r="R13" s="24" t="n">
        <f aca="false">Aannames!$C$33+IF(MOD(A13-1,12)=0,Aannames!$C$34,0)</f>
        <v>150</v>
      </c>
      <c r="S13" s="24" t="n">
        <f aca="false">IF(A13=1,Aannames!$C$35,0)</f>
        <v>0</v>
      </c>
      <c r="T13" s="24" t="n">
        <f aca="false">SUM(N13:S13)</f>
        <v>368.6285086976</v>
      </c>
      <c r="U13" s="24" t="n">
        <f aca="false">M13-T13</f>
        <v>-327.465129392112</v>
      </c>
      <c r="V13" s="24" t="n">
        <f aca="false">V12+U13</f>
        <v>-3329.13357794491</v>
      </c>
    </row>
    <row r="14" customFormat="false" ht="15" hidden="false" customHeight="false" outlineLevel="0" collapsed="false">
      <c r="A14" s="7" t="n">
        <v>7</v>
      </c>
      <c r="B14" s="7" t="s">
        <v>122</v>
      </c>
      <c r="C14" s="22" t="n">
        <f aca="false">Aannames!$C$5*(1+Aannames!$C$6)^(A14-2)*(1+IF(MOD(A14-1,12)=0,Aannames!$C$7,0))</f>
        <v>316.329754624</v>
      </c>
      <c r="D14" s="22" t="n">
        <f aca="false">IF(A14&gt;=Aannames!$C$24,Aannames!$C$26*(1+Aannames!$C$6)^(A14-Aannames!$C$24),0)</f>
        <v>0</v>
      </c>
      <c r="E14" s="22" t="n">
        <f aca="false">C14+D14</f>
        <v>316.329754624</v>
      </c>
      <c r="F14" s="22" t="n">
        <f aca="false">E14*Aannames!$C$8</f>
        <v>173.9813650432</v>
      </c>
      <c r="G14" s="23" t="n">
        <f aca="false">CohortBasis!H$38</f>
        <v>460.9584522752</v>
      </c>
      <c r="H14" s="22" t="n">
        <f aca="false">G14*Aannames!$C$9</f>
        <v>11.52396130688</v>
      </c>
      <c r="I14" s="24" t="n">
        <f aca="false">H14*Aannames!$C$10*(1-Aannames!$C$11)</f>
        <v>43.9811983277075</v>
      </c>
      <c r="J14" s="25" t="n">
        <f aca="false">MIN(J13*(1-Aannames!$C$18)+IF(A14&gt;=Aannames!$C$14,Aannames!$C$15*Aannames!$C$16,0),(Aannames!$C$19+IF(A14&gt;=Aannames!$C$24,Aannames!$C$25,0))*Aannames!$C$20)</f>
        <v>2.4</v>
      </c>
      <c r="K14" s="24" t="n">
        <f aca="false">J14*Aannames!$C$17</f>
        <v>108</v>
      </c>
      <c r="L14" s="24" t="n">
        <f aca="false">IF(AND(A14&gt;12,MOD(A14-1,12)=0),Aannames!$C$37,0)</f>
        <v>0</v>
      </c>
      <c r="M14" s="24" t="n">
        <f aca="false">I14+K14+L14</f>
        <v>151.981198327708</v>
      </c>
      <c r="N14" s="24" t="n">
        <f aca="false">Aannames!$C$28+G14*Aannames!$C$29</f>
        <v>69.219169045504</v>
      </c>
      <c r="O14" s="24" t="n">
        <f aca="false">Aannames!$C$30*(1+IF(A14&gt;=Aannames!$C$24,1,0))</f>
        <v>80</v>
      </c>
      <c r="P14" s="24" t="n">
        <f aca="false">Aannames!$C$31</f>
        <v>70</v>
      </c>
      <c r="Q14" s="24" t="n">
        <f aca="false">IF(MOD(A14-1,12)=0,Aannames!$C$32,0)</f>
        <v>0</v>
      </c>
      <c r="R14" s="24" t="n">
        <f aca="false">Aannames!$C$33+IF(MOD(A14-1,12)=0,Aannames!$C$34,0)</f>
        <v>150</v>
      </c>
      <c r="S14" s="24" t="n">
        <f aca="false">IF(A14=1,Aannames!$C$35,0)</f>
        <v>0</v>
      </c>
      <c r="T14" s="24" t="n">
        <f aca="false">SUM(N14:S14)</f>
        <v>369.219169045504</v>
      </c>
      <c r="U14" s="24" t="n">
        <f aca="false">M14-T14</f>
        <v>-217.237970717797</v>
      </c>
      <c r="V14" s="24" t="n">
        <f aca="false">V13+U14</f>
        <v>-3546.37154866271</v>
      </c>
    </row>
    <row r="15" customFormat="false" ht="15" hidden="false" customHeight="false" outlineLevel="0" collapsed="false">
      <c r="A15" s="7" t="n">
        <v>8</v>
      </c>
      <c r="B15" s="7" t="s">
        <v>123</v>
      </c>
      <c r="C15" s="22" t="n">
        <f aca="false">Aannames!$C$5*(1+Aannames!$C$6)^(A15-2)*(1+IF(MOD(A15-1,12)=0,Aannames!$C$7,0))</f>
        <v>328.98294480896</v>
      </c>
      <c r="D15" s="22" t="n">
        <f aca="false">IF(A15&gt;=Aannames!$C$24,Aannames!$C$26*(1+Aannames!$C$6)^(A15-Aannames!$C$24),0)</f>
        <v>0</v>
      </c>
      <c r="E15" s="22" t="n">
        <f aca="false">C15+D15</f>
        <v>328.98294480896</v>
      </c>
      <c r="F15" s="22" t="n">
        <f aca="false">E15*Aannames!$C$8</f>
        <v>180.940619644928</v>
      </c>
      <c r="G15" s="23" t="n">
        <f aca="false">CohortBasis!I$38</f>
        <v>494.158790366208</v>
      </c>
      <c r="H15" s="22" t="n">
        <f aca="false">G15*Aannames!$C$9</f>
        <v>12.3539697591552</v>
      </c>
      <c r="I15" s="24" t="n">
        <f aca="false">H15*Aannames!$C$10*(1-Aannames!$C$11)</f>
        <v>47.1489255858158</v>
      </c>
      <c r="J15" s="25" t="n">
        <f aca="false">MIN(J14*(1-Aannames!$C$18)+IF(A15&gt;=Aannames!$C$14,Aannames!$C$15*Aannames!$C$16,0),(Aannames!$C$19+IF(A15&gt;=Aannames!$C$24,Aannames!$C$25,0))*Aannames!$C$20)</f>
        <v>4.74</v>
      </c>
      <c r="K15" s="24" t="n">
        <f aca="false">J15*Aannames!$C$17</f>
        <v>213.3</v>
      </c>
      <c r="L15" s="24" t="n">
        <f aca="false">IF(AND(A15&gt;12,MOD(A15-1,12)=0),Aannames!$C$37,0)</f>
        <v>0</v>
      </c>
      <c r="M15" s="24" t="n">
        <f aca="false">I15+K15+L15</f>
        <v>260.448925585816</v>
      </c>
      <c r="N15" s="24" t="n">
        <f aca="false">Aannames!$C$28+G15*Aannames!$C$29</f>
        <v>69.8831758073242</v>
      </c>
      <c r="O15" s="24" t="n">
        <f aca="false">Aannames!$C$30*(1+IF(A15&gt;=Aannames!$C$24,1,0))</f>
        <v>80</v>
      </c>
      <c r="P15" s="24" t="n">
        <f aca="false">Aannames!$C$31</f>
        <v>70</v>
      </c>
      <c r="Q15" s="24" t="n">
        <f aca="false">IF(MOD(A15-1,12)=0,Aannames!$C$32,0)</f>
        <v>0</v>
      </c>
      <c r="R15" s="24" t="n">
        <f aca="false">Aannames!$C$33+IF(MOD(A15-1,12)=0,Aannames!$C$34,0)</f>
        <v>150</v>
      </c>
      <c r="S15" s="24" t="n">
        <f aca="false">IF(A15=1,Aannames!$C$35,0)</f>
        <v>0</v>
      </c>
      <c r="T15" s="24" t="n">
        <f aca="false">SUM(N15:S15)</f>
        <v>369.883175807324</v>
      </c>
      <c r="U15" s="24" t="n">
        <f aca="false">M15-T15</f>
        <v>-109.434250221508</v>
      </c>
      <c r="V15" s="24" t="n">
        <f aca="false">V14+U15</f>
        <v>-3655.80579888422</v>
      </c>
    </row>
    <row r="16" customFormat="false" ht="15" hidden="false" customHeight="false" outlineLevel="0" collapsed="false">
      <c r="A16" s="7" t="n">
        <v>9</v>
      </c>
      <c r="B16" s="7" t="s">
        <v>124</v>
      </c>
      <c r="C16" s="22" t="n">
        <f aca="false">Aannames!$C$5*(1+Aannames!$C$6)^(A16-2)*(1+IF(MOD(A16-1,12)=0,Aannames!$C$7,0))</f>
        <v>342.142262601318</v>
      </c>
      <c r="D16" s="22" t="n">
        <f aca="false">IF(A16&gt;=Aannames!$C$24,Aannames!$C$26*(1+Aannames!$C$6)^(A16-Aannames!$C$24),0)</f>
        <v>0</v>
      </c>
      <c r="E16" s="22" t="n">
        <f aca="false">C16+D16</f>
        <v>342.142262601318</v>
      </c>
      <c r="F16" s="22" t="n">
        <f aca="false">E16*Aannames!$C$8</f>
        <v>188.178244430725</v>
      </c>
      <c r="G16" s="23" t="n">
        <f aca="false">CohortBasis!J$38</f>
        <v>527.455141980856</v>
      </c>
      <c r="H16" s="22" t="n">
        <f aca="false">G16*Aannames!$C$9</f>
        <v>13.1863785495214</v>
      </c>
      <c r="I16" s="24" t="n">
        <f aca="false">H16*Aannames!$C$10*(1-Aannames!$C$11)</f>
        <v>50.3258137342485</v>
      </c>
      <c r="J16" s="25" t="n">
        <f aca="false">MIN(J15*(1-Aannames!$C$18)+IF(A16&gt;=Aannames!$C$14,Aannames!$C$15*Aannames!$C$16,0),(Aannames!$C$19+IF(A16&gt;=Aannames!$C$24,Aannames!$C$25,0))*Aannames!$C$20)</f>
        <v>7.0215</v>
      </c>
      <c r="K16" s="24" t="n">
        <f aca="false">J16*Aannames!$C$17</f>
        <v>315.9675</v>
      </c>
      <c r="L16" s="24" t="n">
        <f aca="false">IF(AND(A16&gt;12,MOD(A16-1,12)=0),Aannames!$C$37,0)</f>
        <v>0</v>
      </c>
      <c r="M16" s="24" t="n">
        <f aca="false">I16+K16+L16</f>
        <v>366.293313734248</v>
      </c>
      <c r="N16" s="24" t="n">
        <f aca="false">Aannames!$C$28+G16*Aannames!$C$29</f>
        <v>70.5491028396171</v>
      </c>
      <c r="O16" s="24" t="n">
        <f aca="false">Aannames!$C$30*(1+IF(A16&gt;=Aannames!$C$24,1,0))</f>
        <v>80</v>
      </c>
      <c r="P16" s="24" t="n">
        <f aca="false">Aannames!$C$31</f>
        <v>70</v>
      </c>
      <c r="Q16" s="24" t="n">
        <f aca="false">IF(MOD(A16-1,12)=0,Aannames!$C$32,0)</f>
        <v>0</v>
      </c>
      <c r="R16" s="24" t="n">
        <f aca="false">Aannames!$C$33+IF(MOD(A16-1,12)=0,Aannames!$C$34,0)</f>
        <v>150</v>
      </c>
      <c r="S16" s="24" t="n">
        <f aca="false">IF(A16=1,Aannames!$C$35,0)</f>
        <v>0</v>
      </c>
      <c r="T16" s="24" t="n">
        <f aca="false">SUM(N16:S16)</f>
        <v>370.549102839617</v>
      </c>
      <c r="U16" s="24" t="n">
        <f aca="false">M16-T16</f>
        <v>-4.25578910536871</v>
      </c>
      <c r="V16" s="24" t="n">
        <f aca="false">V15+U16</f>
        <v>-3660.06158798959</v>
      </c>
    </row>
    <row r="17" customFormat="false" ht="15" hidden="false" customHeight="false" outlineLevel="0" collapsed="false">
      <c r="A17" s="7" t="n">
        <v>10</v>
      </c>
      <c r="B17" s="7" t="s">
        <v>125</v>
      </c>
      <c r="C17" s="22" t="n">
        <f aca="false">Aannames!$C$5*(1+Aannames!$C$6)^(A17-2)*(1+IF(MOD(A17-1,12)=0,Aannames!$C$7,0))</f>
        <v>355.827953105371</v>
      </c>
      <c r="D17" s="22" t="n">
        <f aca="false">IF(A17&gt;=Aannames!$C$24,Aannames!$C$26*(1+Aannames!$C$6)^(A17-Aannames!$C$24),0)</f>
        <v>0</v>
      </c>
      <c r="E17" s="22" t="n">
        <f aca="false">C17+D17</f>
        <v>355.827953105371</v>
      </c>
      <c r="F17" s="22" t="n">
        <f aca="false">E17*Aannames!$C$8</f>
        <v>195.705374207954</v>
      </c>
      <c r="G17" s="23" t="n">
        <f aca="false">CohortBasis!K$38</f>
        <v>560.851347660091</v>
      </c>
      <c r="H17" s="22" t="n">
        <f aca="false">G17*Aannames!$C$9</f>
        <v>14.0212836915023</v>
      </c>
      <c r="I17" s="24" t="n">
        <f aca="false">H17*Aannames!$C$10*(1-Aannames!$C$11)</f>
        <v>53.5122292086184</v>
      </c>
      <c r="J17" s="25" t="n">
        <f aca="false">MIN(J16*(1-Aannames!$C$18)+IF(A17&gt;=Aannames!$C$14,Aannames!$C$15*Aannames!$C$16,0),(Aannames!$C$19+IF(A17&gt;=Aannames!$C$24,Aannames!$C$25,0))*Aannames!$C$20)</f>
        <v>9.2459625</v>
      </c>
      <c r="K17" s="24" t="n">
        <f aca="false">J17*Aannames!$C$17</f>
        <v>416.0683125</v>
      </c>
      <c r="L17" s="24" t="n">
        <f aca="false">IF(AND(A17&gt;12,MOD(A17-1,12)=0),Aannames!$C$37,0)</f>
        <v>0</v>
      </c>
      <c r="M17" s="24" t="n">
        <f aca="false">I17+K17+L17</f>
        <v>469.580541708618</v>
      </c>
      <c r="N17" s="24" t="n">
        <f aca="false">Aannames!$C$28+G17*Aannames!$C$29</f>
        <v>71.2170269532018</v>
      </c>
      <c r="O17" s="24" t="n">
        <f aca="false">Aannames!$C$30*(1+IF(A17&gt;=Aannames!$C$24,1,0))</f>
        <v>80</v>
      </c>
      <c r="P17" s="24" t="n">
        <f aca="false">Aannames!$C$31</f>
        <v>70</v>
      </c>
      <c r="Q17" s="24" t="n">
        <f aca="false">IF(MOD(A17-1,12)=0,Aannames!$C$32,0)</f>
        <v>0</v>
      </c>
      <c r="R17" s="24" t="n">
        <f aca="false">Aannames!$C$33+IF(MOD(A17-1,12)=0,Aannames!$C$34,0)</f>
        <v>150</v>
      </c>
      <c r="S17" s="24" t="n">
        <f aca="false">IF(A17=1,Aannames!$C$35,0)</f>
        <v>0</v>
      </c>
      <c r="T17" s="24" t="n">
        <f aca="false">SUM(N17:S17)</f>
        <v>371.217026953202</v>
      </c>
      <c r="U17" s="24" t="n">
        <f aca="false">M17-T17</f>
        <v>98.3635147554166</v>
      </c>
      <c r="V17" s="24" t="n">
        <f aca="false">V16+U17</f>
        <v>-3561.69807323417</v>
      </c>
    </row>
    <row r="18" customFormat="false" ht="15" hidden="false" customHeight="false" outlineLevel="0" collapsed="false">
      <c r="A18" s="7" t="n">
        <v>11</v>
      </c>
      <c r="B18" s="7" t="s">
        <v>126</v>
      </c>
      <c r="C18" s="22" t="n">
        <f aca="false">Aannames!$C$5*(1+Aannames!$C$6)^(A18-2)*(1+IF(MOD(A18-1,12)=0,Aannames!$C$7,0))</f>
        <v>370.061071229586</v>
      </c>
      <c r="D18" s="22" t="n">
        <f aca="false">IF(A18&gt;=Aannames!$C$24,Aannames!$C$26*(1+Aannames!$C$6)^(A18-Aannames!$C$24),0)</f>
        <v>0</v>
      </c>
      <c r="E18" s="22" t="n">
        <f aca="false">C18+D18</f>
        <v>370.061071229586</v>
      </c>
      <c r="F18" s="22" t="n">
        <f aca="false">E18*Aannames!$C$8</f>
        <v>203.533589176272</v>
      </c>
      <c r="G18" s="23" t="n">
        <f aca="false">CohortBasis!L$38</f>
        <v>594.351401566494</v>
      </c>
      <c r="H18" s="22" t="n">
        <f aca="false">G18*Aannames!$C$9</f>
        <v>14.8587850391624</v>
      </c>
      <c r="I18" s="24" t="n">
        <f aca="false">H18*Aannames!$C$10*(1-Aannames!$C$11)</f>
        <v>56.7085531019632</v>
      </c>
      <c r="J18" s="25" t="n">
        <f aca="false">MIN(J17*(1-Aannames!$C$18)+IF(A18&gt;=Aannames!$C$14,Aannames!$C$15*Aannames!$C$16,0),(Aannames!$C$19+IF(A18&gt;=Aannames!$C$24,Aannames!$C$25,0))*Aannames!$C$20)</f>
        <v>11.4148134375</v>
      </c>
      <c r="K18" s="24" t="n">
        <f aca="false">J18*Aannames!$C$17</f>
        <v>513.6666046875</v>
      </c>
      <c r="L18" s="24" t="n">
        <f aca="false">IF(AND(A18&gt;12,MOD(A18-1,12)=0),Aannames!$C$37,0)</f>
        <v>0</v>
      </c>
      <c r="M18" s="24" t="n">
        <f aca="false">I18+K18+L18</f>
        <v>570.375157789463</v>
      </c>
      <c r="N18" s="24" t="n">
        <f aca="false">Aannames!$C$28+G18*Aannames!$C$29</f>
        <v>71.8870280313299</v>
      </c>
      <c r="O18" s="24" t="n">
        <f aca="false">Aannames!$C$30*(1+IF(A18&gt;=Aannames!$C$24,1,0))</f>
        <v>80</v>
      </c>
      <c r="P18" s="24" t="n">
        <f aca="false">Aannames!$C$31</f>
        <v>70</v>
      </c>
      <c r="Q18" s="24" t="n">
        <f aca="false">IF(MOD(A18-1,12)=0,Aannames!$C$32,0)</f>
        <v>0</v>
      </c>
      <c r="R18" s="24" t="n">
        <f aca="false">Aannames!$C$33+IF(MOD(A18-1,12)=0,Aannames!$C$34,0)</f>
        <v>150</v>
      </c>
      <c r="S18" s="24" t="n">
        <f aca="false">IF(A18=1,Aannames!$C$35,0)</f>
        <v>0</v>
      </c>
      <c r="T18" s="24" t="n">
        <f aca="false">SUM(N18:S18)</f>
        <v>371.88702803133</v>
      </c>
      <c r="U18" s="24" t="n">
        <f aca="false">M18-T18</f>
        <v>198.488129758133</v>
      </c>
      <c r="V18" s="24" t="n">
        <f aca="false">V17+U18</f>
        <v>-3363.20994347604</v>
      </c>
    </row>
    <row r="19" customFormat="false" ht="15" hidden="false" customHeight="false" outlineLevel="0" collapsed="false">
      <c r="A19" s="7" t="n">
        <v>12</v>
      </c>
      <c r="B19" s="7" t="s">
        <v>127</v>
      </c>
      <c r="C19" s="22" t="n">
        <f aca="false">Aannames!$C$5*(1+Aannames!$C$6)^(A19-2)*(1+IF(MOD(A19-1,12)=0,Aannames!$C$7,0))</f>
        <v>384.86351407877</v>
      </c>
      <c r="D19" s="22" t="n">
        <f aca="false">IF(A19&gt;=Aannames!$C$24,Aannames!$C$26*(1+Aannames!$C$6)^(A19-Aannames!$C$24),0)</f>
        <v>0</v>
      </c>
      <c r="E19" s="22" t="n">
        <f aca="false">C19+D19</f>
        <v>384.86351407877</v>
      </c>
      <c r="F19" s="22" t="n">
        <f aca="false">E19*Aannames!$C$8</f>
        <v>211.674932743323</v>
      </c>
      <c r="G19" s="23" t="n">
        <f aca="false">CohortBasis!M$38</f>
        <v>630.434457629154</v>
      </c>
      <c r="H19" s="22" t="n">
        <f aca="false">G19*Aannames!$C$9</f>
        <v>15.7608614407289</v>
      </c>
      <c r="I19" s="24" t="n">
        <f aca="false">H19*Aannames!$C$10*(1-Aannames!$C$11)</f>
        <v>60.1513276885417</v>
      </c>
      <c r="J19" s="25" t="n">
        <f aca="false">MIN(J18*(1-Aannames!$C$18)+IF(A19&gt;=Aannames!$C$14,Aannames!$C$15*Aannames!$C$16,0),(Aannames!$C$19+IF(A19&gt;=Aannames!$C$24,Aannames!$C$25,0))*Aannames!$C$20)</f>
        <v>13.5294431015625</v>
      </c>
      <c r="K19" s="24" t="n">
        <f aca="false">J19*Aannames!$C$17</f>
        <v>608.824939570313</v>
      </c>
      <c r="L19" s="24" t="n">
        <f aca="false">IF(AND(A19&gt;12,MOD(A19-1,12)=0),Aannames!$C$37,0)</f>
        <v>0</v>
      </c>
      <c r="M19" s="24" t="n">
        <f aca="false">I19+K19+L19</f>
        <v>668.976267258854</v>
      </c>
      <c r="N19" s="24" t="n">
        <f aca="false">Aannames!$C$28+G19*Aannames!$C$29</f>
        <v>72.6086891525831</v>
      </c>
      <c r="O19" s="24" t="n">
        <f aca="false">Aannames!$C$30*(1+IF(A19&gt;=Aannames!$C$24,1,0))</f>
        <v>80</v>
      </c>
      <c r="P19" s="24" t="n">
        <f aca="false">Aannames!$C$31</f>
        <v>70</v>
      </c>
      <c r="Q19" s="24" t="n">
        <f aca="false">IF(MOD(A19-1,12)=0,Aannames!$C$32,0)</f>
        <v>0</v>
      </c>
      <c r="R19" s="24" t="n">
        <f aca="false">Aannames!$C$33+IF(MOD(A19-1,12)=0,Aannames!$C$34,0)</f>
        <v>150</v>
      </c>
      <c r="S19" s="24" t="n">
        <f aca="false">IF(A19=1,Aannames!$C$35,0)</f>
        <v>0</v>
      </c>
      <c r="T19" s="24" t="n">
        <f aca="false">SUM(N19:S19)</f>
        <v>372.608689152583</v>
      </c>
      <c r="U19" s="24" t="n">
        <f aca="false">M19-T19</f>
        <v>296.367578106271</v>
      </c>
      <c r="V19" s="24" t="n">
        <f aca="false">V18+U19</f>
        <v>-3066.84236536976</v>
      </c>
    </row>
    <row r="20" customFormat="false" ht="15" hidden="false" customHeight="false" outlineLevel="0" collapsed="false">
      <c r="A20" s="7" t="n">
        <v>13</v>
      </c>
      <c r="B20" s="7" t="s">
        <v>128</v>
      </c>
      <c r="C20" s="22" t="n">
        <f aca="false">Aannames!$C$5*(1+Aannames!$C$6)^(A20-2)*(1+IF(MOD(A20-1,12)=0,Aannames!$C$7,0))</f>
        <v>1000.6451366048</v>
      </c>
      <c r="D20" s="22" t="n">
        <f aca="false">IF(A20&gt;=Aannames!$C$24,Aannames!$C$26*(1+Aannames!$C$6)^(A20-Aannames!$C$24),0)</f>
        <v>0</v>
      </c>
      <c r="E20" s="22" t="n">
        <f aca="false">C20+D20</f>
        <v>1000.6451366048</v>
      </c>
      <c r="F20" s="22" t="n">
        <f aca="false">E20*Aannames!$C$8</f>
        <v>550.354825132641</v>
      </c>
      <c r="G20" s="23" t="n">
        <f aca="false">CohortBasis!N$38</f>
        <v>997.557731013905</v>
      </c>
      <c r="H20" s="22" t="n">
        <f aca="false">G20*Aannames!$C$9</f>
        <v>24.9389432753476</v>
      </c>
      <c r="I20" s="24" t="n">
        <f aca="false">H20*Aannames!$C$10*(1-Aannames!$C$11)</f>
        <v>95.1794770103642</v>
      </c>
      <c r="J20" s="25" t="n">
        <f aca="false">MIN(J19*(1-Aannames!$C$18)+IF(A20&gt;=Aannames!$C$14,Aannames!$C$15*Aannames!$C$16,0),(Aannames!$C$19+IF(A20&gt;=Aannames!$C$24,Aannames!$C$25,0))*Aannames!$C$20)</f>
        <v>15.5912070240234</v>
      </c>
      <c r="K20" s="24" t="n">
        <f aca="false">J20*Aannames!$C$17</f>
        <v>701.604316081055</v>
      </c>
      <c r="L20" s="24" t="n">
        <f aca="false">IF(AND(A20&gt;12,MOD(A20-1,12)=0),Aannames!$C$37,0)</f>
        <v>5000</v>
      </c>
      <c r="M20" s="24" t="n">
        <f aca="false">I20+K20+L20</f>
        <v>5796.78379309142</v>
      </c>
      <c r="N20" s="24" t="n">
        <f aca="false">Aannames!$C$28+G20*Aannames!$C$29</f>
        <v>79.9511546202781</v>
      </c>
      <c r="O20" s="24" t="n">
        <f aca="false">Aannames!$C$30*(1+IF(A20&gt;=Aannames!$C$24,1,0))</f>
        <v>80</v>
      </c>
      <c r="P20" s="24" t="n">
        <f aca="false">Aannames!$C$31</f>
        <v>70</v>
      </c>
      <c r="Q20" s="24" t="n">
        <f aca="false">IF(MOD(A20-1,12)=0,Aannames!$C$32,0)</f>
        <v>150</v>
      </c>
      <c r="R20" s="24" t="n">
        <f aca="false">Aannames!$C$33+IF(MOD(A20-1,12)=0,Aannames!$C$34,0)</f>
        <v>950</v>
      </c>
      <c r="S20" s="24" t="n">
        <f aca="false">IF(A20=1,Aannames!$C$35,0)</f>
        <v>0</v>
      </c>
      <c r="T20" s="24" t="n">
        <f aca="false">SUM(N20:S20)</f>
        <v>1329.95115462028</v>
      </c>
      <c r="U20" s="24" t="n">
        <f aca="false">M20-T20</f>
        <v>4466.83263847114</v>
      </c>
      <c r="V20" s="24" t="n">
        <f aca="false">V19+U20</f>
        <v>1399.99027310138</v>
      </c>
    </row>
    <row r="21" customFormat="false" ht="15" hidden="false" customHeight="false" outlineLevel="0" collapsed="false">
      <c r="A21" s="7" t="n">
        <v>14</v>
      </c>
      <c r="B21" s="7" t="s">
        <v>129</v>
      </c>
      <c r="C21" s="22" t="n">
        <f aca="false">Aannames!$C$5*(1+Aannames!$C$6)^(A21-2)*(1+IF(MOD(A21-1,12)=0,Aannames!$C$7,0))</f>
        <v>416.268376827597</v>
      </c>
      <c r="D21" s="22" t="n">
        <f aca="false">IF(A21&gt;=Aannames!$C$24,Aannames!$C$26*(1+Aannames!$C$6)^(A21-Aannames!$C$24),0)</f>
        <v>0</v>
      </c>
      <c r="E21" s="22" t="n">
        <f aca="false">C21+D21</f>
        <v>416.268376827597</v>
      </c>
      <c r="F21" s="22" t="n">
        <f aca="false">E21*Aannames!$C$8</f>
        <v>228.947607255178</v>
      </c>
      <c r="G21" s="23" t="n">
        <f aca="false">CohortBasis!O$38</f>
        <v>838.685787403527</v>
      </c>
      <c r="H21" s="22" t="n">
        <f aca="false">G21*Aannames!$C$9</f>
        <v>20.9671446850882</v>
      </c>
      <c r="I21" s="24" t="n">
        <f aca="false">H21*Aannames!$C$10*(1-Aannames!$C$11)</f>
        <v>80.021107690639</v>
      </c>
      <c r="J21" s="25" t="n">
        <f aca="false">MIN(J20*(1-Aannames!$C$18)+IF(A21&gt;=Aannames!$C$14,Aannames!$C$15*Aannames!$C$16,0),(Aannames!$C$19+IF(A21&gt;=Aannames!$C$24,Aannames!$C$25,0))*Aannames!$C$20)</f>
        <v>17.6014268484229</v>
      </c>
      <c r="K21" s="24" t="n">
        <f aca="false">J21*Aannames!$C$17</f>
        <v>792.064208179028</v>
      </c>
      <c r="L21" s="24" t="n">
        <f aca="false">IF(AND(A21&gt;12,MOD(A21-1,12)=0),Aannames!$C$37,0)</f>
        <v>0</v>
      </c>
      <c r="M21" s="24" t="n">
        <f aca="false">I21+K21+L21</f>
        <v>872.085315869667</v>
      </c>
      <c r="N21" s="24" t="n">
        <f aca="false">Aannames!$C$28+G21*Aannames!$C$29</f>
        <v>76.7737157480705</v>
      </c>
      <c r="O21" s="24" t="n">
        <f aca="false">Aannames!$C$30*(1+IF(A21&gt;=Aannames!$C$24,1,0))</f>
        <v>80</v>
      </c>
      <c r="P21" s="24" t="n">
        <f aca="false">Aannames!$C$31</f>
        <v>70</v>
      </c>
      <c r="Q21" s="24" t="n">
        <f aca="false">IF(MOD(A21-1,12)=0,Aannames!$C$32,0)</f>
        <v>0</v>
      </c>
      <c r="R21" s="24" t="n">
        <f aca="false">Aannames!$C$33+IF(MOD(A21-1,12)=0,Aannames!$C$34,0)</f>
        <v>150</v>
      </c>
      <c r="S21" s="24" t="n">
        <f aca="false">IF(A21=1,Aannames!$C$35,0)</f>
        <v>0</v>
      </c>
      <c r="T21" s="24" t="n">
        <f aca="false">SUM(N21:S21)</f>
        <v>376.773715748071</v>
      </c>
      <c r="U21" s="24" t="n">
        <f aca="false">M21-T21</f>
        <v>495.311600121597</v>
      </c>
      <c r="V21" s="24" t="n">
        <f aca="false">V20+U21</f>
        <v>1895.30187322297</v>
      </c>
    </row>
    <row r="22" customFormat="false" ht="15" hidden="false" customHeight="false" outlineLevel="0" collapsed="false">
      <c r="A22" s="7" t="n">
        <v>15</v>
      </c>
      <c r="B22" s="7" t="s">
        <v>130</v>
      </c>
      <c r="C22" s="22" t="n">
        <f aca="false">Aannames!$C$5*(1+Aannames!$C$6)^(A22-2)*(1+IF(MOD(A22-1,12)=0,Aannames!$C$7,0))</f>
        <v>432.919111900701</v>
      </c>
      <c r="D22" s="22" t="n">
        <f aca="false">IF(A22&gt;=Aannames!$C$24,Aannames!$C$26*(1+Aannames!$C$6)^(A22-Aannames!$C$24),0)</f>
        <v>0</v>
      </c>
      <c r="E22" s="22" t="n">
        <f aca="false">C22+D22</f>
        <v>432.919111900701</v>
      </c>
      <c r="F22" s="22" t="n">
        <f aca="false">E22*Aannames!$C$8</f>
        <v>238.105511545386</v>
      </c>
      <c r="G22" s="23" t="n">
        <f aca="false">CohortBasis!P$38</f>
        <v>846.244123070436</v>
      </c>
      <c r="H22" s="22" t="n">
        <f aca="false">G22*Aannames!$C$9</f>
        <v>21.1561030767609</v>
      </c>
      <c r="I22" s="24" t="n">
        <f aca="false">H22*Aannames!$C$10*(1-Aannames!$C$11)</f>
        <v>80.742267392458</v>
      </c>
      <c r="J22" s="25" t="n">
        <f aca="false">MIN(J21*(1-Aannames!$C$18)+IF(A22&gt;=Aannames!$C$14,Aannames!$C$15*Aannames!$C$16,0),(Aannames!$C$19+IF(A22&gt;=Aannames!$C$24,Aannames!$C$25,0))*Aannames!$C$20)</f>
        <v>19.5613911772123</v>
      </c>
      <c r="K22" s="24" t="n">
        <f aca="false">J22*Aannames!$C$17</f>
        <v>880.262602974552</v>
      </c>
      <c r="L22" s="24" t="n">
        <f aca="false">IF(AND(A22&gt;12,MOD(A22-1,12)=0),Aannames!$C$37,0)</f>
        <v>0</v>
      </c>
      <c r="M22" s="24" t="n">
        <f aca="false">I22+K22+L22</f>
        <v>961.00487036701</v>
      </c>
      <c r="N22" s="24" t="n">
        <f aca="false">Aannames!$C$28+G22*Aannames!$C$29</f>
        <v>76.9248824614087</v>
      </c>
      <c r="O22" s="24" t="n">
        <f aca="false">Aannames!$C$30*(1+IF(A22&gt;=Aannames!$C$24,1,0))</f>
        <v>80</v>
      </c>
      <c r="P22" s="24" t="n">
        <f aca="false">Aannames!$C$31</f>
        <v>70</v>
      </c>
      <c r="Q22" s="24" t="n">
        <f aca="false">IF(MOD(A22-1,12)=0,Aannames!$C$32,0)</f>
        <v>0</v>
      </c>
      <c r="R22" s="24" t="n">
        <f aca="false">Aannames!$C$33+IF(MOD(A22-1,12)=0,Aannames!$C$34,0)</f>
        <v>150</v>
      </c>
      <c r="S22" s="24" t="n">
        <f aca="false">IF(A22=1,Aannames!$C$35,0)</f>
        <v>0</v>
      </c>
      <c r="T22" s="24" t="n">
        <f aca="false">SUM(N22:S22)</f>
        <v>376.924882461409</v>
      </c>
      <c r="U22" s="24" t="n">
        <f aca="false">M22-T22</f>
        <v>584.079987905602</v>
      </c>
      <c r="V22" s="24" t="n">
        <f aca="false">V21+U22</f>
        <v>2479.38186112858</v>
      </c>
    </row>
    <row r="23" customFormat="false" ht="15" hidden="false" customHeight="false" outlineLevel="0" collapsed="false">
      <c r="A23" s="7" t="n">
        <v>16</v>
      </c>
      <c r="B23" s="7" t="s">
        <v>131</v>
      </c>
      <c r="C23" s="22" t="n">
        <f aca="false">Aannames!$C$5*(1+Aannames!$C$6)^(A23-2)*(1+IF(MOD(A23-1,12)=0,Aannames!$C$7,0))</f>
        <v>450.235876376729</v>
      </c>
      <c r="D23" s="22" t="n">
        <f aca="false">IF(A23&gt;=Aannames!$C$24,Aannames!$C$26*(1+Aannames!$C$6)^(A23-Aannames!$C$24),0)</f>
        <v>0</v>
      </c>
      <c r="E23" s="22" t="n">
        <f aca="false">C23+D23</f>
        <v>450.235876376729</v>
      </c>
      <c r="F23" s="22" t="n">
        <f aca="false">E23*Aannames!$C$8</f>
        <v>247.629732007201</v>
      </c>
      <c r="G23" s="23" t="n">
        <f aca="false">CohortBasis!Q$38</f>
        <v>868.387759547524</v>
      </c>
      <c r="H23" s="22" t="n">
        <f aca="false">G23*Aannames!$C$9</f>
        <v>21.7096939886881</v>
      </c>
      <c r="I23" s="24" t="n">
        <f aca="false">H23*Aannames!$C$10*(1-Aannames!$C$11)</f>
        <v>82.8550471078281</v>
      </c>
      <c r="J23" s="25" t="n">
        <f aca="false">MIN(J22*(1-Aannames!$C$18)+IF(A23&gt;=Aannames!$C$14,Aannames!$C$15*Aannames!$C$16,0),(Aannames!$C$19+IF(A23&gt;=Aannames!$C$24,Aannames!$C$25,0))*Aannames!$C$20)</f>
        <v>21.472356397782</v>
      </c>
      <c r="K23" s="24" t="n">
        <f aca="false">J23*Aannames!$C$17</f>
        <v>966.256037900188</v>
      </c>
      <c r="L23" s="24" t="n">
        <f aca="false">IF(AND(A23&gt;12,MOD(A23-1,12)=0),Aannames!$C$37,0)</f>
        <v>0</v>
      </c>
      <c r="M23" s="24" t="n">
        <f aca="false">I23+K23+L23</f>
        <v>1049.11108500802</v>
      </c>
      <c r="N23" s="24" t="n">
        <f aca="false">Aannames!$C$28+G23*Aannames!$C$29</f>
        <v>77.3677551909505</v>
      </c>
      <c r="O23" s="24" t="n">
        <f aca="false">Aannames!$C$30*(1+IF(A23&gt;=Aannames!$C$24,1,0))</f>
        <v>80</v>
      </c>
      <c r="P23" s="24" t="n">
        <f aca="false">Aannames!$C$31</f>
        <v>70</v>
      </c>
      <c r="Q23" s="24" t="n">
        <f aca="false">IF(MOD(A23-1,12)=0,Aannames!$C$32,0)</f>
        <v>0</v>
      </c>
      <c r="R23" s="24" t="n">
        <f aca="false">Aannames!$C$33+IF(MOD(A23-1,12)=0,Aannames!$C$34,0)</f>
        <v>150</v>
      </c>
      <c r="S23" s="24" t="n">
        <f aca="false">IF(A23=1,Aannames!$C$35,0)</f>
        <v>0</v>
      </c>
      <c r="T23" s="24" t="n">
        <f aca="false">SUM(N23:S23)</f>
        <v>377.36775519095</v>
      </c>
      <c r="U23" s="24" t="n">
        <f aca="false">M23-T23</f>
        <v>671.743329817066</v>
      </c>
      <c r="V23" s="24" t="n">
        <f aca="false">V22+U23</f>
        <v>3151.12519094564</v>
      </c>
    </row>
    <row r="24" customFormat="false" ht="15" hidden="false" customHeight="false" outlineLevel="0" collapsed="false">
      <c r="A24" s="7" t="n">
        <v>17</v>
      </c>
      <c r="B24" s="7" t="s">
        <v>132</v>
      </c>
      <c r="C24" s="22" t="n">
        <f aca="false">Aannames!$C$5*(1+Aannames!$C$6)^(A24-2)*(1+IF(MOD(A24-1,12)=0,Aannames!$C$7,0))</f>
        <v>468.245311431798</v>
      </c>
      <c r="D24" s="22" t="n">
        <f aca="false">IF(A24&gt;=Aannames!$C$24,Aannames!$C$26*(1+Aannames!$C$6)^(A24-Aannames!$C$24),0)</f>
        <v>0</v>
      </c>
      <c r="E24" s="22" t="n">
        <f aca="false">C24+D24</f>
        <v>468.245311431798</v>
      </c>
      <c r="F24" s="22" t="n">
        <f aca="false">E24*Aannames!$C$8</f>
        <v>257.534921287489</v>
      </c>
      <c r="G24" s="23" t="n">
        <f aca="false">CohortBasis!R$38</f>
        <v>898.567510333477</v>
      </c>
      <c r="H24" s="22" t="n">
        <f aca="false">G24*Aannames!$C$9</f>
        <v>22.4641877583369</v>
      </c>
      <c r="I24" s="24" t="n">
        <f aca="false">H24*Aannames!$C$10*(1-Aannames!$C$11)</f>
        <v>85.7345725796929</v>
      </c>
      <c r="J24" s="25" t="n">
        <f aca="false">MIN(J23*(1-Aannames!$C$18)+IF(A24&gt;=Aannames!$C$14,Aannames!$C$15*Aannames!$C$16,0),(Aannames!$C$19+IF(A24&gt;=Aannames!$C$24,Aannames!$C$25,0))*Aannames!$C$20)</f>
        <v>23.3355474878374</v>
      </c>
      <c r="K24" s="24" t="n">
        <f aca="false">J24*Aannames!$C$17</f>
        <v>1050.09963695268</v>
      </c>
      <c r="L24" s="24" t="n">
        <f aca="false">IF(AND(A24&gt;12,MOD(A24-1,12)=0),Aannames!$C$37,0)</f>
        <v>0</v>
      </c>
      <c r="M24" s="24" t="n">
        <f aca="false">I24+K24+L24</f>
        <v>1135.83420953238</v>
      </c>
      <c r="N24" s="24" t="n">
        <f aca="false">Aannames!$C$28+G24*Aannames!$C$29</f>
        <v>77.9713502066695</v>
      </c>
      <c r="O24" s="24" t="n">
        <f aca="false">Aannames!$C$30*(1+IF(A24&gt;=Aannames!$C$24,1,0))</f>
        <v>80</v>
      </c>
      <c r="P24" s="24" t="n">
        <f aca="false">Aannames!$C$31</f>
        <v>70</v>
      </c>
      <c r="Q24" s="24" t="n">
        <f aca="false">IF(MOD(A24-1,12)=0,Aannames!$C$32,0)</f>
        <v>0</v>
      </c>
      <c r="R24" s="24" t="n">
        <f aca="false">Aannames!$C$33+IF(MOD(A24-1,12)=0,Aannames!$C$34,0)</f>
        <v>150</v>
      </c>
      <c r="S24" s="24" t="n">
        <f aca="false">IF(A24=1,Aannames!$C$35,0)</f>
        <v>0</v>
      </c>
      <c r="T24" s="24" t="n">
        <f aca="false">SUM(N24:S24)</f>
        <v>377.97135020667</v>
      </c>
      <c r="U24" s="24" t="n">
        <f aca="false">M24-T24</f>
        <v>757.862859325707</v>
      </c>
      <c r="V24" s="24" t="n">
        <f aca="false">V23+U24</f>
        <v>3908.98805027135</v>
      </c>
    </row>
    <row r="25" customFormat="false" ht="15" hidden="false" customHeight="false" outlineLevel="0" collapsed="false">
      <c r="A25" s="7" t="n">
        <v>18</v>
      </c>
      <c r="B25" s="7" t="s">
        <v>133</v>
      </c>
      <c r="C25" s="22" t="n">
        <f aca="false">Aannames!$C$5*(1+Aannames!$C$6)^(A25-2)*(1+IF(MOD(A25-1,12)=0,Aannames!$C$7,0))</f>
        <v>486.97512388907</v>
      </c>
      <c r="D25" s="22" t="n">
        <f aca="false">IF(A25&gt;=Aannames!$C$24,Aannames!$C$26*(1+Aannames!$C$6)^(A25-Aannames!$C$24),0)</f>
        <v>300</v>
      </c>
      <c r="E25" s="22" t="n">
        <f aca="false">C25+D25</f>
        <v>786.97512388907</v>
      </c>
      <c r="F25" s="22" t="n">
        <f aca="false">E25*Aannames!$C$8</f>
        <v>432.836318138989</v>
      </c>
      <c r="G25" s="23" t="n">
        <f aca="false">CohortBasis!S$38</f>
        <v>1101.84064968459</v>
      </c>
      <c r="H25" s="22" t="n">
        <f aca="false">G25*Aannames!$C$9</f>
        <v>27.5460162421147</v>
      </c>
      <c r="I25" s="24" t="n">
        <f aca="false">H25*Aannames!$C$10*(1-Aannames!$C$11)</f>
        <v>105.129370988031</v>
      </c>
      <c r="J25" s="25" t="n">
        <f aca="false">MIN(J24*(1-Aannames!$C$18)+IF(A25&gt;=Aannames!$C$14,Aannames!$C$15*Aannames!$C$16,0),(Aannames!$C$19+IF(A25&gt;=Aannames!$C$24,Aannames!$C$25,0))*Aannames!$C$20)</f>
        <v>25.1521588006415</v>
      </c>
      <c r="K25" s="24" t="n">
        <f aca="false">J25*Aannames!$C$17</f>
        <v>1131.84714602887</v>
      </c>
      <c r="L25" s="24" t="n">
        <f aca="false">IF(AND(A25&gt;12,MOD(A25-1,12)=0),Aannames!$C$37,0)</f>
        <v>0</v>
      </c>
      <c r="M25" s="24" t="n">
        <f aca="false">I25+K25+L25</f>
        <v>1236.9765170169</v>
      </c>
      <c r="N25" s="24" t="n">
        <f aca="false">Aannames!$C$28+G25*Aannames!$C$29</f>
        <v>82.0368129936918</v>
      </c>
      <c r="O25" s="24" t="n">
        <f aca="false">Aannames!$C$30*(1+IF(A25&gt;=Aannames!$C$24,1,0))</f>
        <v>160</v>
      </c>
      <c r="P25" s="24" t="n">
        <f aca="false">Aannames!$C$31</f>
        <v>70</v>
      </c>
      <c r="Q25" s="24" t="n">
        <f aca="false">IF(MOD(A25-1,12)=0,Aannames!$C$32,0)</f>
        <v>0</v>
      </c>
      <c r="R25" s="24" t="n">
        <f aca="false">Aannames!$C$33+IF(MOD(A25-1,12)=0,Aannames!$C$34,0)</f>
        <v>150</v>
      </c>
      <c r="S25" s="24" t="n">
        <f aca="false">IF(A25=1,Aannames!$C$35,0)</f>
        <v>0</v>
      </c>
      <c r="T25" s="24" t="n">
        <f aca="false">SUM(N25:S25)</f>
        <v>462.036812993692</v>
      </c>
      <c r="U25" s="24" t="n">
        <f aca="false">M25-T25</f>
        <v>774.939704023206</v>
      </c>
      <c r="V25" s="24" t="n">
        <f aca="false">V24+U25</f>
        <v>4683.92775429455</v>
      </c>
    </row>
    <row r="26" customFormat="false" ht="15" hidden="false" customHeight="false" outlineLevel="0" collapsed="false">
      <c r="A26" s="7" t="n">
        <v>19</v>
      </c>
      <c r="B26" s="7" t="s">
        <v>134</v>
      </c>
      <c r="C26" s="22" t="n">
        <f aca="false">Aannames!$C$5*(1+Aannames!$C$6)^(A26-2)*(1+IF(MOD(A26-1,12)=0,Aannames!$C$7,0))</f>
        <v>506.454128844633</v>
      </c>
      <c r="D26" s="22" t="n">
        <f aca="false">IF(A26&gt;=Aannames!$C$24,Aannames!$C$26*(1+Aannames!$C$6)^(A26-Aannames!$C$24),0)</f>
        <v>312</v>
      </c>
      <c r="E26" s="22" t="n">
        <f aca="false">C26+D26</f>
        <v>818.454128844633</v>
      </c>
      <c r="F26" s="22" t="n">
        <f aca="false">E26*Aannames!$C$8</f>
        <v>450.149770864548</v>
      </c>
      <c r="G26" s="23" t="n">
        <f aca="false">CohortBasis!T$38</f>
        <v>1214.26248492581</v>
      </c>
      <c r="H26" s="22" t="n">
        <f aca="false">G26*Aannames!$C$9</f>
        <v>30.3565621231452</v>
      </c>
      <c r="I26" s="24" t="n">
        <f aca="false">H26*Aannames!$C$10*(1-Aannames!$C$11)</f>
        <v>115.855819342984</v>
      </c>
      <c r="J26" s="25" t="n">
        <f aca="false">MIN(J25*(1-Aannames!$C$18)+IF(A26&gt;=Aannames!$C$14,Aannames!$C$15*Aannames!$C$16,0),(Aannames!$C$19+IF(A26&gt;=Aannames!$C$24,Aannames!$C$25,0))*Aannames!$C$20)</f>
        <v>26.9233548306254</v>
      </c>
      <c r="K26" s="24" t="n">
        <f aca="false">J26*Aannames!$C$17</f>
        <v>1211.55096737814</v>
      </c>
      <c r="L26" s="24" t="n">
        <f aca="false">IF(AND(A26&gt;12,MOD(A26-1,12)=0),Aannames!$C$37,0)</f>
        <v>0</v>
      </c>
      <c r="M26" s="24" t="n">
        <f aca="false">I26+K26+L26</f>
        <v>1327.40678672113</v>
      </c>
      <c r="N26" s="24" t="n">
        <f aca="false">Aannames!$C$28+G26*Aannames!$C$29</f>
        <v>84.2852496985161</v>
      </c>
      <c r="O26" s="24" t="n">
        <f aca="false">Aannames!$C$30*(1+IF(A26&gt;=Aannames!$C$24,1,0))</f>
        <v>160</v>
      </c>
      <c r="P26" s="24" t="n">
        <f aca="false">Aannames!$C$31</f>
        <v>70</v>
      </c>
      <c r="Q26" s="24" t="n">
        <f aca="false">IF(MOD(A26-1,12)=0,Aannames!$C$32,0)</f>
        <v>0</v>
      </c>
      <c r="R26" s="24" t="n">
        <f aca="false">Aannames!$C$33+IF(MOD(A26-1,12)=0,Aannames!$C$34,0)</f>
        <v>150</v>
      </c>
      <c r="S26" s="24" t="n">
        <f aca="false">IF(A26=1,Aannames!$C$35,0)</f>
        <v>0</v>
      </c>
      <c r="T26" s="24" t="n">
        <f aca="false">SUM(N26:S26)</f>
        <v>464.285249698516</v>
      </c>
      <c r="U26" s="24" t="n">
        <f aca="false">M26-T26</f>
        <v>863.121537022612</v>
      </c>
      <c r="V26" s="24" t="n">
        <f aca="false">V25+U26</f>
        <v>5547.04929131717</v>
      </c>
    </row>
    <row r="27" customFormat="false" ht="15" hidden="false" customHeight="false" outlineLevel="0" collapsed="false">
      <c r="A27" s="7" t="n">
        <v>20</v>
      </c>
      <c r="B27" s="7" t="s">
        <v>135</v>
      </c>
      <c r="C27" s="22" t="n">
        <f aca="false">Aannames!$C$5*(1+Aannames!$C$6)^(A27-2)*(1+IF(MOD(A27-1,12)=0,Aannames!$C$7,0))</f>
        <v>526.712293998418</v>
      </c>
      <c r="D27" s="22" t="n">
        <f aca="false">IF(A27&gt;=Aannames!$C$24,Aannames!$C$26*(1+Aannames!$C$6)^(A27-Aannames!$C$24),0)</f>
        <v>324.48</v>
      </c>
      <c r="E27" s="22" t="n">
        <f aca="false">C27+D27</f>
        <v>851.192293998418</v>
      </c>
      <c r="F27" s="22" t="n">
        <f aca="false">E27*Aannames!$C$8</f>
        <v>468.15576169913</v>
      </c>
      <c r="G27" s="23" t="n">
        <f aca="false">CohortBasis!U$38</f>
        <v>1318.49609284353</v>
      </c>
      <c r="H27" s="22" t="n">
        <f aca="false">G27*Aannames!$C$9</f>
        <v>32.9624023210884</v>
      </c>
      <c r="I27" s="24" t="n">
        <f aca="false">H27*Aannames!$C$10*(1-Aannames!$C$11)</f>
        <v>125.801008458434</v>
      </c>
      <c r="J27" s="25" t="n">
        <f aca="false">MIN(J26*(1-Aannames!$C$18)+IF(A27&gt;=Aannames!$C$14,Aannames!$C$15*Aannames!$C$16,0),(Aannames!$C$19+IF(A27&gt;=Aannames!$C$24,Aannames!$C$25,0))*Aannames!$C$20)</f>
        <v>28.6502709598598</v>
      </c>
      <c r="K27" s="24" t="n">
        <f aca="false">J27*Aannames!$C$17</f>
        <v>1289.26219319369</v>
      </c>
      <c r="L27" s="24" t="n">
        <f aca="false">IF(AND(A27&gt;12,MOD(A27-1,12)=0),Aannames!$C$37,0)</f>
        <v>0</v>
      </c>
      <c r="M27" s="24" t="n">
        <f aca="false">I27+K27+L27</f>
        <v>1415.06320165212</v>
      </c>
      <c r="N27" s="24" t="n">
        <f aca="false">Aannames!$C$28+G27*Aannames!$C$29</f>
        <v>86.3699218568707</v>
      </c>
      <c r="O27" s="24" t="n">
        <f aca="false">Aannames!$C$30*(1+IF(A27&gt;=Aannames!$C$24,1,0))</f>
        <v>160</v>
      </c>
      <c r="P27" s="24" t="n">
        <f aca="false">Aannames!$C$31</f>
        <v>70</v>
      </c>
      <c r="Q27" s="24" t="n">
        <f aca="false">IF(MOD(A27-1,12)=0,Aannames!$C$32,0)</f>
        <v>0</v>
      </c>
      <c r="R27" s="24" t="n">
        <f aca="false">Aannames!$C$33+IF(MOD(A27-1,12)=0,Aannames!$C$34,0)</f>
        <v>150</v>
      </c>
      <c r="S27" s="24" t="n">
        <f aca="false">IF(A27=1,Aannames!$C$35,0)</f>
        <v>0</v>
      </c>
      <c r="T27" s="24" t="n">
        <f aca="false">SUM(N27:S27)</f>
        <v>466.369921856871</v>
      </c>
      <c r="U27" s="24" t="n">
        <f aca="false">M27-T27</f>
        <v>948.693279795254</v>
      </c>
      <c r="V27" s="24" t="n">
        <f aca="false">V26+U27</f>
        <v>6495.74257111242</v>
      </c>
    </row>
    <row r="28" customFormat="false" ht="15" hidden="false" customHeight="false" outlineLevel="0" collapsed="false">
      <c r="A28" s="7" t="n">
        <v>21</v>
      </c>
      <c r="B28" s="7" t="s">
        <v>136</v>
      </c>
      <c r="C28" s="22" t="n">
        <f aca="false">Aannames!$C$5*(1+Aannames!$C$6)^(A28-2)*(1+IF(MOD(A28-1,12)=0,Aannames!$C$7,0))</f>
        <v>547.780785758355</v>
      </c>
      <c r="D28" s="22" t="n">
        <f aca="false">IF(A28&gt;=Aannames!$C$24,Aannames!$C$26*(1+Aannames!$C$6)^(A28-Aannames!$C$24),0)</f>
        <v>337.4592</v>
      </c>
      <c r="E28" s="22" t="n">
        <f aca="false">C28+D28</f>
        <v>885.239985758355</v>
      </c>
      <c r="F28" s="22" t="n">
        <f aca="false">E28*Aannames!$C$8</f>
        <v>486.881992167095</v>
      </c>
      <c r="G28" s="23" t="n">
        <f aca="false">CohortBasis!V$38</f>
        <v>1417.007930236</v>
      </c>
      <c r="H28" s="22" t="n">
        <f aca="false">G28*Aannames!$C$9</f>
        <v>35.4251982559001</v>
      </c>
      <c r="I28" s="24" t="n">
        <f aca="false">H28*Aannames!$C$10*(1-Aannames!$C$11)</f>
        <v>135.200269143643</v>
      </c>
      <c r="J28" s="25" t="n">
        <f aca="false">MIN(J27*(1-Aannames!$C$18)+IF(A28&gt;=Aannames!$C$14,Aannames!$C$15*Aannames!$C$16,0),(Aannames!$C$19+IF(A28&gt;=Aannames!$C$24,Aannames!$C$25,0))*Aannames!$C$20)</f>
        <v>30.3340141858633</v>
      </c>
      <c r="K28" s="24" t="n">
        <f aca="false">J28*Aannames!$C$17</f>
        <v>1365.03063836385</v>
      </c>
      <c r="L28" s="24" t="n">
        <f aca="false">IF(AND(A28&gt;12,MOD(A28-1,12)=0),Aannames!$C$37,0)</f>
        <v>0</v>
      </c>
      <c r="M28" s="24" t="n">
        <f aca="false">I28+K28+L28</f>
        <v>1500.23090750749</v>
      </c>
      <c r="N28" s="24" t="n">
        <f aca="false">Aannames!$C$28+G28*Aannames!$C$29</f>
        <v>88.3401586047201</v>
      </c>
      <c r="O28" s="24" t="n">
        <f aca="false">Aannames!$C$30*(1+IF(A28&gt;=Aannames!$C$24,1,0))</f>
        <v>160</v>
      </c>
      <c r="P28" s="24" t="n">
        <f aca="false">Aannames!$C$31</f>
        <v>70</v>
      </c>
      <c r="Q28" s="24" t="n">
        <f aca="false">IF(MOD(A28-1,12)=0,Aannames!$C$32,0)</f>
        <v>0</v>
      </c>
      <c r="R28" s="24" t="n">
        <f aca="false">Aannames!$C$33+IF(MOD(A28-1,12)=0,Aannames!$C$34,0)</f>
        <v>150</v>
      </c>
      <c r="S28" s="24" t="n">
        <f aca="false">IF(A28=1,Aannames!$C$35,0)</f>
        <v>0</v>
      </c>
      <c r="T28" s="24" t="n">
        <f aca="false">SUM(N28:S28)</f>
        <v>468.34015860472</v>
      </c>
      <c r="U28" s="24" t="n">
        <f aca="false">M28-T28</f>
        <v>1031.89074890277</v>
      </c>
      <c r="V28" s="24" t="n">
        <f aca="false">V27+U28</f>
        <v>7527.63332001519</v>
      </c>
    </row>
    <row r="29" customFormat="false" ht="15" hidden="false" customHeight="false" outlineLevel="0" collapsed="false">
      <c r="A29" s="7" t="n">
        <v>22</v>
      </c>
      <c r="B29" s="7" t="s">
        <v>137</v>
      </c>
      <c r="C29" s="22" t="n">
        <f aca="false">Aannames!$C$5*(1+Aannames!$C$6)^(A29-2)*(1+IF(MOD(A29-1,12)=0,Aannames!$C$7,0))</f>
        <v>569.692017188689</v>
      </c>
      <c r="D29" s="22" t="n">
        <f aca="false">IF(A29&gt;=Aannames!$C$24,Aannames!$C$26*(1+Aannames!$C$6)^(A29-Aannames!$C$24),0)</f>
        <v>350.957568</v>
      </c>
      <c r="E29" s="22" t="n">
        <f aca="false">C29+D29</f>
        <v>920.64958518869</v>
      </c>
      <c r="F29" s="22" t="n">
        <f aca="false">E29*Aannames!$C$8</f>
        <v>506.357271853779</v>
      </c>
      <c r="G29" s="23" t="n">
        <f aca="false">CohortBasis!W$38</f>
        <v>1512.8691262822</v>
      </c>
      <c r="H29" s="22" t="n">
        <f aca="false">G29*Aannames!$C$9</f>
        <v>37.821728157055</v>
      </c>
      <c r="I29" s="24" t="n">
        <f aca="false">H29*Aannames!$C$10*(1-Aannames!$C$11)</f>
        <v>144.346625511401</v>
      </c>
      <c r="J29" s="25" t="n">
        <f aca="false">MIN(J28*(1-Aannames!$C$18)+IF(A29&gt;=Aannames!$C$14,Aannames!$C$15*Aannames!$C$16,0),(Aannames!$C$19+IF(A29&gt;=Aannames!$C$24,Aannames!$C$25,0))*Aannames!$C$20)</f>
        <v>31.9756638312167</v>
      </c>
      <c r="K29" s="24" t="n">
        <f aca="false">J29*Aannames!$C$17</f>
        <v>1438.90487240475</v>
      </c>
      <c r="L29" s="24" t="n">
        <f aca="false">IF(AND(A29&gt;12,MOD(A29-1,12)=0),Aannames!$C$37,0)</f>
        <v>0</v>
      </c>
      <c r="M29" s="24" t="n">
        <f aca="false">I29+K29+L29</f>
        <v>1583.25149791615</v>
      </c>
      <c r="N29" s="24" t="n">
        <f aca="false">Aannames!$C$28+G29*Aannames!$C$29</f>
        <v>90.257382525644</v>
      </c>
      <c r="O29" s="24" t="n">
        <f aca="false">Aannames!$C$30*(1+IF(A29&gt;=Aannames!$C$24,1,0))</f>
        <v>160</v>
      </c>
      <c r="P29" s="24" t="n">
        <f aca="false">Aannames!$C$31</f>
        <v>70</v>
      </c>
      <c r="Q29" s="24" t="n">
        <f aca="false">IF(MOD(A29-1,12)=0,Aannames!$C$32,0)</f>
        <v>0</v>
      </c>
      <c r="R29" s="24" t="n">
        <f aca="false">Aannames!$C$33+IF(MOD(A29-1,12)=0,Aannames!$C$34,0)</f>
        <v>150</v>
      </c>
      <c r="S29" s="24" t="n">
        <f aca="false">IF(A29=1,Aannames!$C$35,0)</f>
        <v>0</v>
      </c>
      <c r="T29" s="24" t="n">
        <f aca="false">SUM(N29:S29)</f>
        <v>470.257382525644</v>
      </c>
      <c r="U29" s="24" t="n">
        <f aca="false">M29-T29</f>
        <v>1112.99411539051</v>
      </c>
      <c r="V29" s="24" t="n">
        <f aca="false">V28+U29</f>
        <v>8640.6274354057</v>
      </c>
    </row>
    <row r="30" customFormat="false" ht="15" hidden="false" customHeight="false" outlineLevel="0" collapsed="false">
      <c r="A30" s="7" t="n">
        <v>23</v>
      </c>
      <c r="B30" s="7" t="s">
        <v>138</v>
      </c>
      <c r="C30" s="22" t="n">
        <f aca="false">Aannames!$C$5*(1+Aannames!$C$6)^(A30-2)*(1+IF(MOD(A30-1,12)=0,Aannames!$C$7,0))</f>
        <v>592.479697876237</v>
      </c>
      <c r="D30" s="22" t="n">
        <f aca="false">IF(A30&gt;=Aannames!$C$24,Aannames!$C$26*(1+Aannames!$C$6)^(A30-Aannames!$C$24),0)</f>
        <v>364.99587072</v>
      </c>
      <c r="E30" s="22" t="n">
        <f aca="false">C30+D30</f>
        <v>957.475568596237</v>
      </c>
      <c r="F30" s="22" t="n">
        <f aca="false">E30*Aannames!$C$8</f>
        <v>526.61156272793</v>
      </c>
      <c r="G30" s="23" t="n">
        <f aca="false">CohortBasis!X$38</f>
        <v>1609.27365532828</v>
      </c>
      <c r="H30" s="22" t="n">
        <f aca="false">G30*Aannames!$C$9</f>
        <v>40.231841383207</v>
      </c>
      <c r="I30" s="24" t="n">
        <f aca="false">H30*Aannames!$C$10*(1-Aannames!$C$11)</f>
        <v>153.544822639009</v>
      </c>
      <c r="J30" s="25" t="n">
        <f aca="false">MIN(J29*(1-Aannames!$C$18)+IF(A30&gt;=Aannames!$C$14,Aannames!$C$15*Aannames!$C$16,0),(Aannames!$C$19+IF(A30&gt;=Aannames!$C$24,Aannames!$C$25,0))*Aannames!$C$20)</f>
        <v>33.5762722354363</v>
      </c>
      <c r="K30" s="24" t="n">
        <f aca="false">J30*Aannames!$C$17</f>
        <v>1510.93225059463</v>
      </c>
      <c r="L30" s="24" t="n">
        <f aca="false">IF(AND(A30&gt;12,MOD(A30-1,12)=0),Aannames!$C$37,0)</f>
        <v>0</v>
      </c>
      <c r="M30" s="24" t="n">
        <f aca="false">I30+K30+L30</f>
        <v>1664.47707323364</v>
      </c>
      <c r="N30" s="24" t="n">
        <f aca="false">Aannames!$C$28+G30*Aannames!$C$29</f>
        <v>92.1854731065656</v>
      </c>
      <c r="O30" s="24" t="n">
        <f aca="false">Aannames!$C$30*(1+IF(A30&gt;=Aannames!$C$24,1,0))</f>
        <v>160</v>
      </c>
      <c r="P30" s="24" t="n">
        <f aca="false">Aannames!$C$31</f>
        <v>70</v>
      </c>
      <c r="Q30" s="24" t="n">
        <f aca="false">IF(MOD(A30-1,12)=0,Aannames!$C$32,0)</f>
        <v>0</v>
      </c>
      <c r="R30" s="24" t="n">
        <f aca="false">Aannames!$C$33+IF(MOD(A30-1,12)=0,Aannames!$C$34,0)</f>
        <v>150</v>
      </c>
      <c r="S30" s="24" t="n">
        <f aca="false">IF(A30=1,Aannames!$C$35,0)</f>
        <v>0</v>
      </c>
      <c r="T30" s="24" t="n">
        <f aca="false">SUM(N30:S30)</f>
        <v>472.185473106566</v>
      </c>
      <c r="U30" s="24" t="n">
        <f aca="false">M30-T30</f>
        <v>1192.29160012708</v>
      </c>
      <c r="V30" s="24" t="n">
        <f aca="false">V29+U30</f>
        <v>9832.91903553278</v>
      </c>
    </row>
    <row r="31" customFormat="false" ht="15" hidden="false" customHeight="false" outlineLevel="0" collapsed="false">
      <c r="A31" s="7" t="n">
        <v>24</v>
      </c>
      <c r="B31" s="7" t="s">
        <v>139</v>
      </c>
      <c r="C31" s="22" t="n">
        <f aca="false">Aannames!$C$5*(1+Aannames!$C$6)^(A31-2)*(1+IF(MOD(A31-1,12)=0,Aannames!$C$7,0))</f>
        <v>616.178885791287</v>
      </c>
      <c r="D31" s="22" t="n">
        <f aca="false">IF(A31&gt;=Aannames!$C$24,Aannames!$C$26*(1+Aannames!$C$6)^(A31-Aannames!$C$24),0)</f>
        <v>379.5957055488</v>
      </c>
      <c r="E31" s="22" t="n">
        <f aca="false">C31+D31</f>
        <v>995.774591340087</v>
      </c>
      <c r="F31" s="22" t="n">
        <f aca="false">E31*Aannames!$C$8</f>
        <v>547.676025237048</v>
      </c>
      <c r="G31" s="23" t="n">
        <f aca="false">CohortBasis!Y$38</f>
        <v>1707.89431516963</v>
      </c>
      <c r="H31" s="22" t="n">
        <f aca="false">G31*Aannames!$C$9</f>
        <v>42.6973578792408</v>
      </c>
      <c r="I31" s="24" t="n">
        <f aca="false">H31*Aannames!$C$10*(1-Aannames!$C$11)</f>
        <v>162.954466346122</v>
      </c>
      <c r="J31" s="25" t="n">
        <f aca="false">MIN(J30*(1-Aannames!$C$18)+IF(A31&gt;=Aannames!$C$14,Aannames!$C$15*Aannames!$C$16,0),(Aannames!$C$19+IF(A31&gt;=Aannames!$C$24,Aannames!$C$25,0))*Aannames!$C$20)</f>
        <v>35.1368654295504</v>
      </c>
      <c r="K31" s="24" t="n">
        <f aca="false">J31*Aannames!$C$17</f>
        <v>1581.15894432977</v>
      </c>
      <c r="L31" s="24" t="n">
        <f aca="false">IF(AND(A31&gt;12,MOD(A31-1,12)=0),Aannames!$C$37,0)</f>
        <v>0</v>
      </c>
      <c r="M31" s="24" t="n">
        <f aca="false">I31+K31+L31</f>
        <v>1744.11341067589</v>
      </c>
      <c r="N31" s="24" t="n">
        <f aca="false">Aannames!$C$28+G31*Aannames!$C$29</f>
        <v>94.1578863033926</v>
      </c>
      <c r="O31" s="24" t="n">
        <f aca="false">Aannames!$C$30*(1+IF(A31&gt;=Aannames!$C$24,1,0))</f>
        <v>160</v>
      </c>
      <c r="P31" s="24" t="n">
        <f aca="false">Aannames!$C$31</f>
        <v>70</v>
      </c>
      <c r="Q31" s="24" t="n">
        <f aca="false">IF(MOD(A31-1,12)=0,Aannames!$C$32,0)</f>
        <v>0</v>
      </c>
      <c r="R31" s="24" t="n">
        <f aca="false">Aannames!$C$33+IF(MOD(A31-1,12)=0,Aannames!$C$34,0)</f>
        <v>150</v>
      </c>
      <c r="S31" s="24" t="n">
        <f aca="false">IF(A31=1,Aannames!$C$35,0)</f>
        <v>0</v>
      </c>
      <c r="T31" s="24" t="n">
        <f aca="false">SUM(N31:S31)</f>
        <v>474.157886303393</v>
      </c>
      <c r="U31" s="24" t="n">
        <f aca="false">M31-T31</f>
        <v>1269.9555243725</v>
      </c>
      <c r="V31" s="24" t="n">
        <f aca="false">V30+U31</f>
        <v>11102.8745599053</v>
      </c>
    </row>
    <row r="32" customFormat="false" ht="15" hidden="false" customHeight="false" outlineLevel="0" collapsed="false">
      <c r="A32" s="7" t="n">
        <v>25</v>
      </c>
      <c r="B32" s="7" t="s">
        <v>140</v>
      </c>
      <c r="C32" s="22" t="n">
        <f aca="false">Aannames!$C$5*(1+Aannames!$C$6)^(A32-2)*(1+IF(MOD(A32-1,12)=0,Aannames!$C$7,0))</f>
        <v>1602.06510305735</v>
      </c>
      <c r="D32" s="22" t="n">
        <f aca="false">IF(A32&gt;=Aannames!$C$24,Aannames!$C$26*(1+Aannames!$C$6)^(A32-Aannames!$C$24),0)</f>
        <v>394.779533770752</v>
      </c>
      <c r="E32" s="22" t="n">
        <f aca="false">C32+D32</f>
        <v>1996.8446368281</v>
      </c>
      <c r="F32" s="22" t="n">
        <f aca="false">E32*Aannames!$C$8</f>
        <v>1098.26455025545</v>
      </c>
      <c r="G32" s="23" t="n">
        <f aca="false">CohortBasis!Z$38</f>
        <v>2337.43412799258</v>
      </c>
      <c r="H32" s="22" t="n">
        <f aca="false">G32*Aannames!$C$9</f>
        <v>58.4358531998144</v>
      </c>
      <c r="I32" s="24" t="n">
        <f aca="false">H32*Aannames!$C$10*(1-Aannames!$C$11)</f>
        <v>223.020433737092</v>
      </c>
      <c r="J32" s="25" t="n">
        <f aca="false">MIN(J31*(1-Aannames!$C$18)+IF(A32&gt;=Aannames!$C$14,Aannames!$C$15*Aannames!$C$16,0),(Aannames!$C$19+IF(A32&gt;=Aannames!$C$24,Aannames!$C$25,0))*Aannames!$C$20)</f>
        <v>36.6584437938116</v>
      </c>
      <c r="K32" s="24" t="n">
        <f aca="false">J32*Aannames!$C$17</f>
        <v>1649.62997072152</v>
      </c>
      <c r="L32" s="24" t="n">
        <f aca="false">IF(AND(A32&gt;12,MOD(A32-1,12)=0),Aannames!$C$37,0)</f>
        <v>5000</v>
      </c>
      <c r="M32" s="24" t="n">
        <f aca="false">I32+K32+L32</f>
        <v>6872.65040445861</v>
      </c>
      <c r="N32" s="24" t="n">
        <f aca="false">Aannames!$C$28+G32*Aannames!$C$29</f>
        <v>106.748682559852</v>
      </c>
      <c r="O32" s="24" t="n">
        <f aca="false">Aannames!$C$30*(1+IF(A32&gt;=Aannames!$C$24,1,0))</f>
        <v>160</v>
      </c>
      <c r="P32" s="24" t="n">
        <f aca="false">Aannames!$C$31</f>
        <v>70</v>
      </c>
      <c r="Q32" s="24" t="n">
        <f aca="false">IF(MOD(A32-1,12)=0,Aannames!$C$32,0)</f>
        <v>150</v>
      </c>
      <c r="R32" s="24" t="n">
        <f aca="false">Aannames!$C$33+IF(MOD(A32-1,12)=0,Aannames!$C$34,0)</f>
        <v>950</v>
      </c>
      <c r="S32" s="24" t="n">
        <f aca="false">IF(A32=1,Aannames!$C$35,0)</f>
        <v>0</v>
      </c>
      <c r="T32" s="24" t="n">
        <f aca="false">SUM(N32:S32)</f>
        <v>1436.74868255985</v>
      </c>
      <c r="U32" s="24" t="n">
        <f aca="false">M32-T32</f>
        <v>5435.90172189876</v>
      </c>
      <c r="V32" s="24" t="n">
        <f aca="false">V31+U32</f>
        <v>16538.776281804</v>
      </c>
    </row>
    <row r="33" customFormat="false" ht="15" hidden="false" customHeight="false" outlineLevel="0" collapsed="false">
      <c r="A33" s="7" t="n">
        <v>26</v>
      </c>
      <c r="B33" s="7" t="s">
        <v>141</v>
      </c>
      <c r="C33" s="22" t="n">
        <f aca="false">Aannames!$C$5*(1+Aannames!$C$6)^(A33-2)*(1+IF(MOD(A33-1,12)=0,Aannames!$C$7,0))</f>
        <v>666.459082871856</v>
      </c>
      <c r="D33" s="22" t="n">
        <f aca="false">IF(A33&gt;=Aannames!$C$24,Aannames!$C$26*(1+Aannames!$C$6)^(A33-Aannames!$C$24),0)</f>
        <v>410.570715121582</v>
      </c>
      <c r="E33" s="22" t="n">
        <f aca="false">C33+D33</f>
        <v>1077.02979799344</v>
      </c>
      <c r="F33" s="22" t="n">
        <f aca="false">E33*Aannames!$C$8</f>
        <v>592.366388896391</v>
      </c>
      <c r="G33" s="23" t="n">
        <f aca="false">CohortBasis!AA$38</f>
        <v>2124.40138081806</v>
      </c>
      <c r="H33" s="22" t="n">
        <f aca="false">G33*Aannames!$C$9</f>
        <v>53.1100345204515</v>
      </c>
      <c r="I33" s="24" t="n">
        <f aca="false">H33*Aannames!$C$10*(1-Aannames!$C$11)</f>
        <v>202.694446747303</v>
      </c>
      <c r="J33" s="25" t="n">
        <f aca="false">MIN(J32*(1-Aannames!$C$18)+IF(A33&gt;=Aannames!$C$14,Aannames!$C$15*Aannames!$C$16,0),(Aannames!$C$19+IF(A33&gt;=Aannames!$C$24,Aannames!$C$25,0))*Aannames!$C$20)</f>
        <v>38.1419826989663</v>
      </c>
      <c r="K33" s="24" t="n">
        <f aca="false">J33*Aannames!$C$17</f>
        <v>1716.38922145349</v>
      </c>
      <c r="L33" s="24" t="n">
        <f aca="false">IF(AND(A33&gt;12,MOD(A33-1,12)=0),Aannames!$C$37,0)</f>
        <v>0</v>
      </c>
      <c r="M33" s="24" t="n">
        <f aca="false">I33+K33+L33</f>
        <v>1919.08366820079</v>
      </c>
      <c r="N33" s="24" t="n">
        <f aca="false">Aannames!$C$28+G33*Aannames!$C$29</f>
        <v>102.488027616361</v>
      </c>
      <c r="O33" s="24" t="n">
        <f aca="false">Aannames!$C$30*(1+IF(A33&gt;=Aannames!$C$24,1,0))</f>
        <v>160</v>
      </c>
      <c r="P33" s="24" t="n">
        <f aca="false">Aannames!$C$31</f>
        <v>70</v>
      </c>
      <c r="Q33" s="24" t="n">
        <f aca="false">IF(MOD(A33-1,12)=0,Aannames!$C$32,0)</f>
        <v>0</v>
      </c>
      <c r="R33" s="24" t="n">
        <f aca="false">Aannames!$C$33+IF(MOD(A33-1,12)=0,Aannames!$C$34,0)</f>
        <v>150</v>
      </c>
      <c r="S33" s="24" t="n">
        <f aca="false">IF(A33=1,Aannames!$C$35,0)</f>
        <v>0</v>
      </c>
      <c r="T33" s="24" t="n">
        <f aca="false">SUM(N33:S33)</f>
        <v>482.488027616361</v>
      </c>
      <c r="U33" s="24" t="n">
        <f aca="false">M33-T33</f>
        <v>1436.59564058443</v>
      </c>
      <c r="V33" s="24" t="n">
        <f aca="false">V32+U33</f>
        <v>17975.3719223885</v>
      </c>
    </row>
    <row r="34" customFormat="false" ht="15" hidden="false" customHeight="false" outlineLevel="0" collapsed="false">
      <c r="A34" s="7" t="n">
        <v>27</v>
      </c>
      <c r="B34" s="7" t="s">
        <v>142</v>
      </c>
      <c r="C34" s="22" t="n">
        <f aca="false">Aannames!$C$5*(1+Aannames!$C$6)^(A34-2)*(1+IF(MOD(A34-1,12)=0,Aannames!$C$7,0))</f>
        <v>693.11744618673</v>
      </c>
      <c r="D34" s="22" t="n">
        <f aca="false">IF(A34&gt;=Aannames!$C$24,Aannames!$C$26*(1+Aannames!$C$6)^(A34-Aannames!$C$24),0)</f>
        <v>426.993543726445</v>
      </c>
      <c r="E34" s="22" t="n">
        <f aca="false">C34+D34</f>
        <v>1120.11098991318</v>
      </c>
      <c r="F34" s="22" t="n">
        <f aca="false">E34*Aannames!$C$8</f>
        <v>616.061044452246</v>
      </c>
      <c r="G34" s="23" t="n">
        <f aca="false">CohortBasis!AB$38</f>
        <v>2178.12963840884</v>
      </c>
      <c r="H34" s="22" t="n">
        <f aca="false">G34*Aannames!$C$9</f>
        <v>54.4532409602211</v>
      </c>
      <c r="I34" s="24" t="n">
        <f aca="false">H34*Aannames!$C$10*(1-Aannames!$C$11)</f>
        <v>207.820794124684</v>
      </c>
      <c r="J34" s="25" t="n">
        <f aca="false">MIN(J33*(1-Aannames!$C$18)+IF(A34&gt;=Aannames!$C$14,Aannames!$C$15*Aannames!$C$16,0),(Aannames!$C$19+IF(A34&gt;=Aannames!$C$24,Aannames!$C$25,0))*Aannames!$C$20)</f>
        <v>39.5884331314922</v>
      </c>
      <c r="K34" s="24" t="n">
        <f aca="false">J34*Aannames!$C$17</f>
        <v>1781.47949091715</v>
      </c>
      <c r="L34" s="24" t="n">
        <f aca="false">IF(AND(A34&gt;12,MOD(A34-1,12)=0),Aannames!$C$37,0)</f>
        <v>0</v>
      </c>
      <c r="M34" s="24" t="n">
        <f aca="false">I34+K34+L34</f>
        <v>1989.30028504183</v>
      </c>
      <c r="N34" s="24" t="n">
        <f aca="false">Aannames!$C$28+G34*Aannames!$C$29</f>
        <v>103.562592768177</v>
      </c>
      <c r="O34" s="24" t="n">
        <f aca="false">Aannames!$C$30*(1+IF(A34&gt;=Aannames!$C$24,1,0))</f>
        <v>160</v>
      </c>
      <c r="P34" s="24" t="n">
        <f aca="false">Aannames!$C$31</f>
        <v>70</v>
      </c>
      <c r="Q34" s="24" t="n">
        <f aca="false">IF(MOD(A34-1,12)=0,Aannames!$C$32,0)</f>
        <v>0</v>
      </c>
      <c r="R34" s="24" t="n">
        <f aca="false">Aannames!$C$33+IF(MOD(A34-1,12)=0,Aannames!$C$34,0)</f>
        <v>150</v>
      </c>
      <c r="S34" s="24" t="n">
        <f aca="false">IF(A34=1,Aannames!$C$35,0)</f>
        <v>0</v>
      </c>
      <c r="T34" s="24" t="n">
        <f aca="false">SUM(N34:S34)</f>
        <v>483.562592768177</v>
      </c>
      <c r="U34" s="24" t="n">
        <f aca="false">M34-T34</f>
        <v>1505.73769227365</v>
      </c>
      <c r="V34" s="24" t="n">
        <f aca="false">V33+U34</f>
        <v>19481.1096146621</v>
      </c>
    </row>
    <row r="35" customFormat="false" ht="15" hidden="false" customHeight="false" outlineLevel="0" collapsed="false">
      <c r="A35" s="7" t="n">
        <v>28</v>
      </c>
      <c r="B35" s="7" t="s">
        <v>143</v>
      </c>
      <c r="C35" s="22" t="n">
        <f aca="false">Aannames!$C$5*(1+Aannames!$C$6)^(A35-2)*(1+IF(MOD(A35-1,12)=0,Aannames!$C$7,0))</f>
        <v>720.842144034199</v>
      </c>
      <c r="D35" s="22" t="n">
        <f aca="false">IF(A35&gt;=Aannames!$C$24,Aannames!$C$26*(1+Aannames!$C$6)^(A35-Aannames!$C$24),0)</f>
        <v>444.073285475503</v>
      </c>
      <c r="E35" s="22" t="n">
        <f aca="false">C35+D35</f>
        <v>1164.9154295097</v>
      </c>
      <c r="F35" s="22" t="n">
        <f aca="false">E35*Aannames!$C$8</f>
        <v>640.703486230336</v>
      </c>
      <c r="G35" s="23" t="n">
        <f aca="false">CohortBasis!AC$38</f>
        <v>2255.52222863126</v>
      </c>
      <c r="H35" s="22" t="n">
        <f aca="false">G35*Aannames!$C$9</f>
        <v>56.3880557157814</v>
      </c>
      <c r="I35" s="24" t="n">
        <f aca="false">H35*Aannames!$C$10*(1-Aannames!$C$11)</f>
        <v>215.20501463928</v>
      </c>
      <c r="J35" s="25" t="n">
        <f aca="false">MIN(J34*(1-Aannames!$C$18)+IF(A35&gt;=Aannames!$C$14,Aannames!$C$15*Aannames!$C$16,0),(Aannames!$C$19+IF(A35&gt;=Aannames!$C$24,Aannames!$C$25,0))*Aannames!$C$20)</f>
        <v>40.9987223032049</v>
      </c>
      <c r="K35" s="24" t="n">
        <f aca="false">J35*Aannames!$C$17</f>
        <v>1844.94250364422</v>
      </c>
      <c r="L35" s="24" t="n">
        <f aca="false">IF(AND(A35&gt;12,MOD(A35-1,12)=0),Aannames!$C$37,0)</f>
        <v>0</v>
      </c>
      <c r="M35" s="24" t="n">
        <f aca="false">I35+K35+L35</f>
        <v>2060.1475182835</v>
      </c>
      <c r="N35" s="24" t="n">
        <f aca="false">Aannames!$C$28+G35*Aannames!$C$29</f>
        <v>105.110444572625</v>
      </c>
      <c r="O35" s="24" t="n">
        <f aca="false">Aannames!$C$30*(1+IF(A35&gt;=Aannames!$C$24,1,0))</f>
        <v>160</v>
      </c>
      <c r="P35" s="24" t="n">
        <f aca="false">Aannames!$C$31</f>
        <v>70</v>
      </c>
      <c r="Q35" s="24" t="n">
        <f aca="false">IF(MOD(A35-1,12)=0,Aannames!$C$32,0)</f>
        <v>0</v>
      </c>
      <c r="R35" s="24" t="n">
        <f aca="false">Aannames!$C$33+IF(MOD(A35-1,12)=0,Aannames!$C$34,0)</f>
        <v>150</v>
      </c>
      <c r="S35" s="24" t="n">
        <f aca="false">IF(A35=1,Aannames!$C$35,0)</f>
        <v>0</v>
      </c>
      <c r="T35" s="24" t="n">
        <f aca="false">SUM(N35:S35)</f>
        <v>485.110444572625</v>
      </c>
      <c r="U35" s="24" t="n">
        <f aca="false">M35-T35</f>
        <v>1575.03707371087</v>
      </c>
      <c r="V35" s="24" t="n">
        <f aca="false">V34+U35</f>
        <v>21056.146688373</v>
      </c>
    </row>
    <row r="36" customFormat="false" ht="15" hidden="false" customHeight="false" outlineLevel="0" collapsed="false">
      <c r="A36" s="7" t="n">
        <v>29</v>
      </c>
      <c r="B36" s="7" t="s">
        <v>144</v>
      </c>
      <c r="C36" s="22" t="n">
        <f aca="false">Aannames!$C$5*(1+Aannames!$C$6)^(A36-2)*(1+IF(MOD(A36-1,12)=0,Aannames!$C$7,0))</f>
        <v>749.675829795567</v>
      </c>
      <c r="D36" s="22" t="n">
        <f aca="false">IF(A36&gt;=Aannames!$C$24,Aannames!$C$26*(1+Aannames!$C$6)^(A36-Aannames!$C$24),0)</f>
        <v>461.836216894524</v>
      </c>
      <c r="E36" s="22" t="n">
        <f aca="false">C36+D36</f>
        <v>1211.51204669009</v>
      </c>
      <c r="F36" s="22" t="n">
        <f aca="false">E36*Aannames!$C$8</f>
        <v>666.33162567955</v>
      </c>
      <c r="G36" s="23" t="n">
        <f aca="false">CohortBasis!AD$38</f>
        <v>2346.93120473597</v>
      </c>
      <c r="H36" s="22" t="n">
        <f aca="false">G36*Aannames!$C$9</f>
        <v>58.6732801183994</v>
      </c>
      <c r="I36" s="24" t="n">
        <f aca="false">H36*Aannames!$C$10*(1-Aannames!$C$11)</f>
        <v>223.926573571871</v>
      </c>
      <c r="J36" s="25" t="n">
        <f aca="false">MIN(J35*(1-Aannames!$C$18)+IF(A36&gt;=Aannames!$C$14,Aannames!$C$15*Aannames!$C$16,0),(Aannames!$C$19+IF(A36&gt;=Aannames!$C$24,Aannames!$C$25,0))*Aannames!$C$20)</f>
        <v>42.3737542456247</v>
      </c>
      <c r="K36" s="24" t="n">
        <f aca="false">J36*Aannames!$C$17</f>
        <v>1906.81894105311</v>
      </c>
      <c r="L36" s="24" t="n">
        <f aca="false">IF(AND(A36&gt;12,MOD(A36-1,12)=0),Aannames!$C$37,0)</f>
        <v>0</v>
      </c>
      <c r="M36" s="24" t="n">
        <f aca="false">I36+K36+L36</f>
        <v>2130.74551462498</v>
      </c>
      <c r="N36" s="24" t="n">
        <f aca="false">Aannames!$C$28+G36*Aannames!$C$29</f>
        <v>106.93862409472</v>
      </c>
      <c r="O36" s="24" t="n">
        <f aca="false">Aannames!$C$30*(1+IF(A36&gt;=Aannames!$C$24,1,0))</f>
        <v>160</v>
      </c>
      <c r="P36" s="24" t="n">
        <f aca="false">Aannames!$C$31</f>
        <v>70</v>
      </c>
      <c r="Q36" s="24" t="n">
        <f aca="false">IF(MOD(A36-1,12)=0,Aannames!$C$32,0)</f>
        <v>0</v>
      </c>
      <c r="R36" s="24" t="n">
        <f aca="false">Aannames!$C$33+IF(MOD(A36-1,12)=0,Aannames!$C$34,0)</f>
        <v>150</v>
      </c>
      <c r="S36" s="24" t="n">
        <f aca="false">IF(A36=1,Aannames!$C$35,0)</f>
        <v>0</v>
      </c>
      <c r="T36" s="24" t="n">
        <f aca="false">SUM(N36:S36)</f>
        <v>486.93862409472</v>
      </c>
      <c r="U36" s="24" t="n">
        <f aca="false">M36-T36</f>
        <v>1643.80689053027</v>
      </c>
      <c r="V36" s="24" t="n">
        <f aca="false">V35+U36</f>
        <v>22699.9535789033</v>
      </c>
    </row>
    <row r="37" customFormat="false" ht="15" hidden="false" customHeight="false" outlineLevel="0" collapsed="false">
      <c r="A37" s="7" t="n">
        <v>30</v>
      </c>
      <c r="B37" s="7" t="s">
        <v>145</v>
      </c>
      <c r="C37" s="22" t="n">
        <f aca="false">Aannames!$C$5*(1+Aannames!$C$6)^(A37-2)*(1+IF(MOD(A37-1,12)=0,Aannames!$C$7,0))</f>
        <v>779.66286298739</v>
      </c>
      <c r="D37" s="22" t="n">
        <f aca="false">IF(A37&gt;=Aannames!$C$24,Aannames!$C$26*(1+Aannames!$C$6)^(A37-Aannames!$C$24),0)</f>
        <v>480.309665570304</v>
      </c>
      <c r="E37" s="22" t="n">
        <f aca="false">C37+D37</f>
        <v>1259.97252855769</v>
      </c>
      <c r="F37" s="22" t="n">
        <f aca="false">E37*Aannames!$C$8</f>
        <v>692.984890706732</v>
      </c>
      <c r="G37" s="23" t="n">
        <f aca="false">CohortBasis!AE$38</f>
        <v>2452.49427697108</v>
      </c>
      <c r="H37" s="22" t="n">
        <f aca="false">G37*Aannames!$C$9</f>
        <v>61.312356924277</v>
      </c>
      <c r="I37" s="24" t="n">
        <f aca="false">H37*Aannames!$C$10*(1-Aannames!$C$11)</f>
        <v>233.998610201503</v>
      </c>
      <c r="J37" s="25" t="n">
        <f aca="false">MIN(J36*(1-Aannames!$C$18)+IF(A37&gt;=Aannames!$C$14,Aannames!$C$15*Aannames!$C$16,0),(Aannames!$C$19+IF(A37&gt;=Aannames!$C$24,Aannames!$C$25,0))*Aannames!$C$20)</f>
        <v>43.7144103894841</v>
      </c>
      <c r="K37" s="24" t="n">
        <f aca="false">J37*Aannames!$C$17</f>
        <v>1967.14846752679</v>
      </c>
      <c r="L37" s="24" t="n">
        <f aca="false">IF(AND(A37&gt;12,MOD(A37-1,12)=0),Aannames!$C$37,0)</f>
        <v>0</v>
      </c>
      <c r="M37" s="24" t="n">
        <f aca="false">I37+K37+L37</f>
        <v>2201.14707772829</v>
      </c>
      <c r="N37" s="24" t="n">
        <f aca="false">Aannames!$C$28+G37*Aannames!$C$29</f>
        <v>109.049885539422</v>
      </c>
      <c r="O37" s="24" t="n">
        <f aca="false">Aannames!$C$30*(1+IF(A37&gt;=Aannames!$C$24,1,0))</f>
        <v>160</v>
      </c>
      <c r="P37" s="24" t="n">
        <f aca="false">Aannames!$C$31</f>
        <v>70</v>
      </c>
      <c r="Q37" s="24" t="n">
        <f aca="false">IF(MOD(A37-1,12)=0,Aannames!$C$32,0)</f>
        <v>0</v>
      </c>
      <c r="R37" s="24" t="n">
        <f aca="false">Aannames!$C$33+IF(MOD(A37-1,12)=0,Aannames!$C$34,0)</f>
        <v>150</v>
      </c>
      <c r="S37" s="24" t="n">
        <f aca="false">IF(A37=1,Aannames!$C$35,0)</f>
        <v>0</v>
      </c>
      <c r="T37" s="24" t="n">
        <f aca="false">SUM(N37:S37)</f>
        <v>489.049885539422</v>
      </c>
      <c r="U37" s="24" t="n">
        <f aca="false">M37-T37</f>
        <v>1712.09719218887</v>
      </c>
      <c r="V37" s="24" t="n">
        <f aca="false">V36+U37</f>
        <v>24412.0507710921</v>
      </c>
    </row>
    <row r="38" customFormat="false" ht="15" hidden="false" customHeight="false" outlineLevel="0" collapsed="false">
      <c r="A38" s="7" t="n">
        <v>31</v>
      </c>
      <c r="B38" s="7" t="s">
        <v>146</v>
      </c>
      <c r="C38" s="22" t="n">
        <f aca="false">Aannames!$C$5*(1+Aannames!$C$6)^(A38-2)*(1+IF(MOD(A38-1,12)=0,Aannames!$C$7,0))</f>
        <v>810.849377506885</v>
      </c>
      <c r="D38" s="22" t="n">
        <f aca="false">IF(A38&gt;=Aannames!$C$24,Aannames!$C$26*(1+Aannames!$C$6)^(A38-Aannames!$C$24),0)</f>
        <v>499.522052193117</v>
      </c>
      <c r="E38" s="22" t="n">
        <f aca="false">C38+D38</f>
        <v>1310.3714297</v>
      </c>
      <c r="F38" s="22" t="n">
        <f aca="false">E38*Aannames!$C$8</f>
        <v>720.704286335001</v>
      </c>
      <c r="G38" s="23" t="n">
        <f aca="false">CohortBasis!AF$38</f>
        <v>2562.2760343144</v>
      </c>
      <c r="H38" s="22" t="n">
        <f aca="false">G38*Aannames!$C$9</f>
        <v>64.0569008578601</v>
      </c>
      <c r="I38" s="24" t="n">
        <f aca="false">H38*Aannames!$C$10*(1-Aannames!$C$11)</f>
        <v>244.473162124023</v>
      </c>
      <c r="J38" s="25" t="n">
        <f aca="false">MIN(J37*(1-Aannames!$C$18)+IF(A38&gt;=Aannames!$C$14,Aannames!$C$15*Aannames!$C$16,0),(Aannames!$C$19+IF(A38&gt;=Aannames!$C$24,Aannames!$C$25,0))*Aannames!$C$20)</f>
        <v>45.021550129747</v>
      </c>
      <c r="K38" s="24" t="n">
        <f aca="false">J38*Aannames!$C$17</f>
        <v>2025.96975583862</v>
      </c>
      <c r="L38" s="24" t="n">
        <f aca="false">IF(AND(A38&gt;12,MOD(A38-1,12)=0),Aannames!$C$37,0)</f>
        <v>0</v>
      </c>
      <c r="M38" s="24" t="n">
        <f aca="false">I38+K38+L38</f>
        <v>2270.44291796264</v>
      </c>
      <c r="N38" s="24" t="n">
        <f aca="false">Aannames!$C$28+G38*Aannames!$C$29</f>
        <v>111.245520686288</v>
      </c>
      <c r="O38" s="24" t="n">
        <f aca="false">Aannames!$C$30*(1+IF(A38&gt;=Aannames!$C$24,1,0))</f>
        <v>160</v>
      </c>
      <c r="P38" s="24" t="n">
        <f aca="false">Aannames!$C$31</f>
        <v>70</v>
      </c>
      <c r="Q38" s="24" t="n">
        <f aca="false">IF(MOD(A38-1,12)=0,Aannames!$C$32,0)</f>
        <v>0</v>
      </c>
      <c r="R38" s="24" t="n">
        <f aca="false">Aannames!$C$33+IF(MOD(A38-1,12)=0,Aannames!$C$34,0)</f>
        <v>150</v>
      </c>
      <c r="S38" s="24" t="n">
        <f aca="false">IF(A38=1,Aannames!$C$35,0)</f>
        <v>0</v>
      </c>
      <c r="T38" s="24" t="n">
        <f aca="false">SUM(N38:S38)</f>
        <v>491.245520686288</v>
      </c>
      <c r="U38" s="24" t="n">
        <f aca="false">M38-T38</f>
        <v>1779.19739727635</v>
      </c>
      <c r="V38" s="24" t="n">
        <f aca="false">V37+U38</f>
        <v>26191.2481683685</v>
      </c>
    </row>
    <row r="39" customFormat="false" ht="15" hidden="false" customHeight="false" outlineLevel="0" collapsed="false">
      <c r="A39" s="7" t="n">
        <v>32</v>
      </c>
      <c r="B39" s="7" t="s">
        <v>147</v>
      </c>
      <c r="C39" s="22" t="n">
        <f aca="false">Aannames!$C$5*(1+Aannames!$C$6)^(A39-2)*(1+IF(MOD(A39-1,12)=0,Aannames!$C$7,0))</f>
        <v>843.283352607161</v>
      </c>
      <c r="D39" s="22" t="n">
        <f aca="false">IF(A39&gt;=Aannames!$C$24,Aannames!$C$26*(1+Aannames!$C$6)^(A39-Aannames!$C$24),0)</f>
        <v>519.502934280841</v>
      </c>
      <c r="E39" s="22" t="n">
        <f aca="false">C39+D39</f>
        <v>1362.786286888</v>
      </c>
      <c r="F39" s="22" t="n">
        <f aca="false">E39*Aannames!$C$8</f>
        <v>749.532457788401</v>
      </c>
      <c r="G39" s="23" t="n">
        <f aca="false">CohortBasis!AG$38</f>
        <v>2682.06225190544</v>
      </c>
      <c r="H39" s="22" t="n">
        <f aca="false">G39*Aannames!$C$9</f>
        <v>67.051556297636</v>
      </c>
      <c r="I39" s="24" t="n">
        <f aca="false">H39*Aannames!$C$10*(1-Aannames!$C$11)</f>
        <v>255.902264609928</v>
      </c>
      <c r="J39" s="25" t="n">
        <f aca="false">MIN(J38*(1-Aannames!$C$18)+IF(A39&gt;=Aannames!$C$14,Aannames!$C$15*Aannames!$C$16,0),(Aannames!$C$19+IF(A39&gt;=Aannames!$C$24,Aannames!$C$25,0))*Aannames!$C$20)</f>
        <v>46.2960113765033</v>
      </c>
      <c r="K39" s="24" t="n">
        <f aca="false">J39*Aannames!$C$17</f>
        <v>2083.32051194265</v>
      </c>
      <c r="L39" s="24" t="n">
        <f aca="false">IF(AND(A39&gt;12,MOD(A39-1,12)=0),Aannames!$C$37,0)</f>
        <v>0</v>
      </c>
      <c r="M39" s="24" t="n">
        <f aca="false">I39+K39+L39</f>
        <v>2339.22277655258</v>
      </c>
      <c r="N39" s="24" t="n">
        <f aca="false">Aannames!$C$28+G39*Aannames!$C$29</f>
        <v>113.641245038109</v>
      </c>
      <c r="O39" s="24" t="n">
        <f aca="false">Aannames!$C$30*(1+IF(A39&gt;=Aannames!$C$24,1,0))</f>
        <v>160</v>
      </c>
      <c r="P39" s="24" t="n">
        <f aca="false">Aannames!$C$31</f>
        <v>70</v>
      </c>
      <c r="Q39" s="24" t="n">
        <f aca="false">IF(MOD(A39-1,12)=0,Aannames!$C$32,0)</f>
        <v>0</v>
      </c>
      <c r="R39" s="24" t="n">
        <f aca="false">Aannames!$C$33+IF(MOD(A39-1,12)=0,Aannames!$C$34,0)</f>
        <v>150</v>
      </c>
      <c r="S39" s="24" t="n">
        <f aca="false">IF(A39=1,Aannames!$C$35,0)</f>
        <v>0</v>
      </c>
      <c r="T39" s="24" t="n">
        <f aca="false">SUM(N39:S39)</f>
        <v>493.641245038109</v>
      </c>
      <c r="U39" s="24" t="n">
        <f aca="false">M39-T39</f>
        <v>1845.58153151447</v>
      </c>
      <c r="V39" s="24" t="n">
        <f aca="false">V38+U39</f>
        <v>28036.8296998829</v>
      </c>
    </row>
    <row r="40" customFormat="false" ht="15" hidden="false" customHeight="false" outlineLevel="0" collapsed="false">
      <c r="A40" s="7" t="n">
        <v>33</v>
      </c>
      <c r="B40" s="7" t="s">
        <v>148</v>
      </c>
      <c r="C40" s="22" t="n">
        <f aca="false">Aannames!$C$5*(1+Aannames!$C$6)^(A40-2)*(1+IF(MOD(A40-1,12)=0,Aannames!$C$7,0))</f>
        <v>877.014686711447</v>
      </c>
      <c r="D40" s="22" t="n">
        <f aca="false">IF(A40&gt;=Aannames!$C$24,Aannames!$C$26*(1+Aannames!$C$6)^(A40-Aannames!$C$24),0)</f>
        <v>540.283051652075</v>
      </c>
      <c r="E40" s="22" t="n">
        <f aca="false">C40+D40</f>
        <v>1417.29773836352</v>
      </c>
      <c r="F40" s="22" t="n">
        <f aca="false">E40*Aannames!$C$8</f>
        <v>779.513756099937</v>
      </c>
      <c r="G40" s="23" t="n">
        <f aca="false">CohortBasis!AH$38</f>
        <v>2806.41139930953</v>
      </c>
      <c r="H40" s="22" t="n">
        <f aca="false">G40*Aannames!$C$9</f>
        <v>70.1602849827382</v>
      </c>
      <c r="I40" s="24" t="n">
        <f aca="false">H40*Aannames!$C$10*(1-Aannames!$C$11)</f>
        <v>267.76672763662</v>
      </c>
      <c r="J40" s="25" t="n">
        <f aca="false">MIN(J39*(1-Aannames!$C$18)+IF(A40&gt;=Aannames!$C$14,Aannames!$C$15*Aannames!$C$16,0),(Aannames!$C$19+IF(A40&gt;=Aannames!$C$24,Aannames!$C$25,0))*Aannames!$C$20)</f>
        <v>47.5386110920908</v>
      </c>
      <c r="K40" s="24" t="n">
        <f aca="false">J40*Aannames!$C$17</f>
        <v>2139.23749914408</v>
      </c>
      <c r="L40" s="24" t="n">
        <f aca="false">IF(AND(A40&gt;12,MOD(A40-1,12)=0),Aannames!$C$37,0)</f>
        <v>0</v>
      </c>
      <c r="M40" s="24" t="n">
        <f aca="false">I40+K40+L40</f>
        <v>2407.0042267807</v>
      </c>
      <c r="N40" s="24" t="n">
        <f aca="false">Aannames!$C$28+G40*Aannames!$C$29</f>
        <v>116.128227986191</v>
      </c>
      <c r="O40" s="24" t="n">
        <f aca="false">Aannames!$C$30*(1+IF(A40&gt;=Aannames!$C$24,1,0))</f>
        <v>160</v>
      </c>
      <c r="P40" s="24" t="n">
        <f aca="false">Aannames!$C$31</f>
        <v>70</v>
      </c>
      <c r="Q40" s="24" t="n">
        <f aca="false">IF(MOD(A40-1,12)=0,Aannames!$C$32,0)</f>
        <v>0</v>
      </c>
      <c r="R40" s="24" t="n">
        <f aca="false">Aannames!$C$33+IF(MOD(A40-1,12)=0,Aannames!$C$34,0)</f>
        <v>150</v>
      </c>
      <c r="S40" s="24" t="n">
        <f aca="false">IF(A40=1,Aannames!$C$35,0)</f>
        <v>0</v>
      </c>
      <c r="T40" s="24" t="n">
        <f aca="false">SUM(N40:S40)</f>
        <v>496.128227986191</v>
      </c>
      <c r="U40" s="24" t="n">
        <f aca="false">M40-T40</f>
        <v>1910.87599879451</v>
      </c>
      <c r="V40" s="24" t="n">
        <f aca="false">V39+U40</f>
        <v>29947.7056986775</v>
      </c>
    </row>
    <row r="41" customFormat="false" ht="15" hidden="false" customHeight="false" outlineLevel="0" collapsed="false">
      <c r="A41" s="7" t="n">
        <v>34</v>
      </c>
      <c r="B41" s="7" t="s">
        <v>149</v>
      </c>
      <c r="C41" s="22" t="n">
        <f aca="false">Aannames!$C$5*(1+Aannames!$C$6)^(A41-2)*(1+IF(MOD(A41-1,12)=0,Aannames!$C$7,0))</f>
        <v>912.095274179905</v>
      </c>
      <c r="D41" s="22" t="n">
        <f aca="false">IF(A41&gt;=Aannames!$C$24,Aannames!$C$26*(1+Aannames!$C$6)^(A41-Aannames!$C$24),0)</f>
        <v>561.894373718158</v>
      </c>
      <c r="E41" s="22" t="n">
        <f aca="false">C41+D41</f>
        <v>1473.98964789806</v>
      </c>
      <c r="F41" s="22" t="n">
        <f aca="false">E41*Aannames!$C$8</f>
        <v>810.694306343935</v>
      </c>
      <c r="G41" s="23" t="n">
        <f aca="false">CohortBasis!AI$38</f>
        <v>2935.50599371918</v>
      </c>
      <c r="H41" s="22" t="n">
        <f aca="false">G41*Aannames!$C$9</f>
        <v>73.3876498429796</v>
      </c>
      <c r="I41" s="24" t="n">
        <f aca="false">H41*Aannames!$C$10*(1-Aannames!$C$11)</f>
        <v>280.083965625732</v>
      </c>
      <c r="J41" s="25" t="n">
        <f aca="false">MIN(J40*(1-Aannames!$C$18)+IF(A41&gt;=Aannames!$C$14,Aannames!$C$15*Aannames!$C$16,0),(Aannames!$C$19+IF(A41&gt;=Aannames!$C$24,Aannames!$C$25,0))*Aannames!$C$20)</f>
        <v>48.7501458147885</v>
      </c>
      <c r="K41" s="24" t="n">
        <f aca="false">J41*Aannames!$C$17</f>
        <v>2193.75656166548</v>
      </c>
      <c r="L41" s="24" t="n">
        <f aca="false">IF(AND(A41&gt;12,MOD(A41-1,12)=0),Aannames!$C$37,0)</f>
        <v>0</v>
      </c>
      <c r="M41" s="24" t="n">
        <f aca="false">I41+K41+L41</f>
        <v>2473.84052729121</v>
      </c>
      <c r="N41" s="24" t="n">
        <f aca="false">Aannames!$C$28+G41*Aannames!$C$29</f>
        <v>118.710119874384</v>
      </c>
      <c r="O41" s="24" t="n">
        <f aca="false">Aannames!$C$30*(1+IF(A41&gt;=Aannames!$C$24,1,0))</f>
        <v>160</v>
      </c>
      <c r="P41" s="24" t="n">
        <f aca="false">Aannames!$C$31</f>
        <v>70</v>
      </c>
      <c r="Q41" s="24" t="n">
        <f aca="false">IF(MOD(A41-1,12)=0,Aannames!$C$32,0)</f>
        <v>0</v>
      </c>
      <c r="R41" s="24" t="n">
        <f aca="false">Aannames!$C$33+IF(MOD(A41-1,12)=0,Aannames!$C$34,0)</f>
        <v>150</v>
      </c>
      <c r="S41" s="24" t="n">
        <f aca="false">IF(A41=1,Aannames!$C$35,0)</f>
        <v>0</v>
      </c>
      <c r="T41" s="24" t="n">
        <f aca="false">SUM(N41:S41)</f>
        <v>498.710119874384</v>
      </c>
      <c r="U41" s="24" t="n">
        <f aca="false">M41-T41</f>
        <v>1975.13040741683</v>
      </c>
      <c r="V41" s="24" t="n">
        <f aca="false">V40+U41</f>
        <v>31922.8361060943</v>
      </c>
    </row>
    <row r="42" customFormat="false" ht="15" hidden="false" customHeight="false" outlineLevel="0" collapsed="false">
      <c r="A42" s="7" t="n">
        <v>35</v>
      </c>
      <c r="B42" s="7" t="s">
        <v>150</v>
      </c>
      <c r="C42" s="22" t="n">
        <f aca="false">Aannames!$C$5*(1+Aannames!$C$6)^(A42-2)*(1+IF(MOD(A42-1,12)=0,Aannames!$C$7,0))</f>
        <v>948.579085147101</v>
      </c>
      <c r="D42" s="22" t="n">
        <f aca="false">IF(A42&gt;=Aannames!$C$24,Aannames!$C$26*(1+Aannames!$C$6)^(A42-Aannames!$C$24),0)</f>
        <v>584.370148666884</v>
      </c>
      <c r="E42" s="22" t="n">
        <f aca="false">C42+D42</f>
        <v>1532.94923381399</v>
      </c>
      <c r="F42" s="22" t="n">
        <f aca="false">E42*Aannames!$C$8</f>
        <v>843.122078597692</v>
      </c>
      <c r="G42" s="23" t="n">
        <f aca="false">CohortBasis!AJ$38</f>
        <v>3069.53585301463</v>
      </c>
      <c r="H42" s="22" t="n">
        <f aca="false">G42*Aannames!$C$9</f>
        <v>76.7383963253659</v>
      </c>
      <c r="I42" s="24" t="n">
        <f aca="false">H42*Aannames!$C$10*(1-Aannames!$C$11)</f>
        <v>292.872089575759</v>
      </c>
      <c r="J42" s="25" t="n">
        <f aca="false">MIN(J41*(1-Aannames!$C$18)+IF(A42&gt;=Aannames!$C$14,Aannames!$C$15*Aannames!$C$16,0),(Aannames!$C$19+IF(A42&gt;=Aannames!$C$24,Aannames!$C$25,0))*Aannames!$C$20)</f>
        <v>49.9313921694188</v>
      </c>
      <c r="K42" s="24" t="n">
        <f aca="false">J42*Aannames!$C$17</f>
        <v>2246.91264762384</v>
      </c>
      <c r="L42" s="24" t="n">
        <f aca="false">IF(AND(A42&gt;12,MOD(A42-1,12)=0),Aannames!$C$37,0)</f>
        <v>0</v>
      </c>
      <c r="M42" s="24" t="n">
        <f aca="false">I42+K42+L42</f>
        <v>2539.7847371996</v>
      </c>
      <c r="N42" s="24" t="n">
        <f aca="false">Aannames!$C$28+G42*Aannames!$C$29</f>
        <v>121.390717060293</v>
      </c>
      <c r="O42" s="24" t="n">
        <f aca="false">Aannames!$C$30*(1+IF(A42&gt;=Aannames!$C$24,1,0))</f>
        <v>160</v>
      </c>
      <c r="P42" s="24" t="n">
        <f aca="false">Aannames!$C$31</f>
        <v>70</v>
      </c>
      <c r="Q42" s="24" t="n">
        <f aca="false">IF(MOD(A42-1,12)=0,Aannames!$C$32,0)</f>
        <v>0</v>
      </c>
      <c r="R42" s="24" t="n">
        <f aca="false">Aannames!$C$33+IF(MOD(A42-1,12)=0,Aannames!$C$34,0)</f>
        <v>150</v>
      </c>
      <c r="S42" s="24" t="n">
        <f aca="false">IF(A42=1,Aannames!$C$35,0)</f>
        <v>0</v>
      </c>
      <c r="T42" s="24" t="n">
        <f aca="false">SUM(N42:S42)</f>
        <v>501.390717060293</v>
      </c>
      <c r="U42" s="24" t="n">
        <f aca="false">M42-T42</f>
        <v>2038.39402013931</v>
      </c>
      <c r="V42" s="24" t="n">
        <f aca="false">V41+U42</f>
        <v>33961.2301262336</v>
      </c>
    </row>
    <row r="43" customFormat="false" ht="15" hidden="false" customHeight="false" outlineLevel="0" collapsed="false">
      <c r="A43" s="7" t="n">
        <v>36</v>
      </c>
      <c r="B43" s="7" t="s">
        <v>151</v>
      </c>
      <c r="C43" s="22" t="n">
        <f aca="false">Aannames!$C$5*(1+Aannames!$C$6)^(A43-2)*(1+IF(MOD(A43-1,12)=0,Aannames!$C$7,0))</f>
        <v>986.522248552986</v>
      </c>
      <c r="D43" s="22" t="n">
        <f aca="false">IF(A43&gt;=Aannames!$C$24,Aannames!$C$26*(1+Aannames!$C$6)^(A43-Aannames!$C$24),0)</f>
        <v>607.74495461356</v>
      </c>
      <c r="E43" s="22" t="n">
        <f aca="false">C43+D43</f>
        <v>1594.26720316655</v>
      </c>
      <c r="F43" s="22" t="n">
        <f aca="false">E43*Aannames!$C$8</f>
        <v>876.8469617416</v>
      </c>
      <c r="G43" s="23" t="n">
        <f aca="false">CohortBasis!AK$38</f>
        <v>3211.34179521135</v>
      </c>
      <c r="H43" s="22" t="n">
        <f aca="false">G43*Aannames!$C$9</f>
        <v>80.2835448802838</v>
      </c>
      <c r="I43" s="24" t="n">
        <f aca="false">H43*Aannames!$C$10*(1-Aannames!$C$11)</f>
        <v>306.402149035603</v>
      </c>
      <c r="J43" s="25" t="n">
        <f aca="false">MIN(J42*(1-Aannames!$C$18)+IF(A43&gt;=Aannames!$C$14,Aannames!$C$15*Aannames!$C$16,0),(Aannames!$C$19+IF(A43&gt;=Aannames!$C$24,Aannames!$C$25,0))*Aannames!$C$20)</f>
        <v>51.0831073651833</v>
      </c>
      <c r="K43" s="24" t="n">
        <f aca="false">J43*Aannames!$C$17</f>
        <v>2298.73983143325</v>
      </c>
      <c r="L43" s="24" t="n">
        <f aca="false">IF(AND(A43&gt;12,MOD(A43-1,12)=0),Aannames!$C$37,0)</f>
        <v>0</v>
      </c>
      <c r="M43" s="24" t="n">
        <f aca="false">I43+K43+L43</f>
        <v>2605.14198046885</v>
      </c>
      <c r="N43" s="24" t="n">
        <f aca="false">Aannames!$C$28+G43*Aannames!$C$29</f>
        <v>124.226835904227</v>
      </c>
      <c r="O43" s="24" t="n">
        <f aca="false">Aannames!$C$30*(1+IF(A43&gt;=Aannames!$C$24,1,0))</f>
        <v>160</v>
      </c>
      <c r="P43" s="24" t="n">
        <f aca="false">Aannames!$C$31</f>
        <v>70</v>
      </c>
      <c r="Q43" s="24" t="n">
        <f aca="false">IF(MOD(A43-1,12)=0,Aannames!$C$32,0)</f>
        <v>0</v>
      </c>
      <c r="R43" s="24" t="n">
        <f aca="false">Aannames!$C$33+IF(MOD(A43-1,12)=0,Aannames!$C$34,0)</f>
        <v>150</v>
      </c>
      <c r="S43" s="24" t="n">
        <f aca="false">IF(A43=1,Aannames!$C$35,0)</f>
        <v>0</v>
      </c>
      <c r="T43" s="24" t="n">
        <f aca="false">SUM(N43:S43)</f>
        <v>504.226835904227</v>
      </c>
      <c r="U43" s="24" t="n">
        <f aca="false">M43-T43</f>
        <v>2100.91514456462</v>
      </c>
      <c r="V43" s="24" t="n">
        <f aca="false">V42+U43</f>
        <v>36062.1452707982</v>
      </c>
    </row>
    <row r="45" customFormat="false" ht="15" hidden="false" customHeight="false" outlineLevel="0" collapsed="false">
      <c r="A45" s="26" t="s">
        <v>152</v>
      </c>
    </row>
    <row r="46" customFormat="false" ht="15" hidden="false" customHeight="false" outlineLevel="0" collapsed="false">
      <c r="A46" s="13" t="s">
        <v>153</v>
      </c>
      <c r="C46" s="22" t="n">
        <f aca="false">G19</f>
        <v>630.434457629154</v>
      </c>
    </row>
    <row r="47" customFormat="false" ht="15" hidden="false" customHeight="false" outlineLevel="0" collapsed="false">
      <c r="A47" s="13" t="s">
        <v>154</v>
      </c>
      <c r="C47" s="22" t="n">
        <f aca="false">G31</f>
        <v>1707.89431516963</v>
      </c>
    </row>
    <row r="48" customFormat="false" ht="15" hidden="false" customHeight="false" outlineLevel="0" collapsed="false">
      <c r="A48" s="13" t="s">
        <v>155</v>
      </c>
      <c r="C48" s="22" t="n">
        <f aca="false">G43</f>
        <v>3211.34179521135</v>
      </c>
    </row>
    <row r="49" customFormat="false" ht="15" hidden="false" customHeight="false" outlineLevel="0" collapsed="false">
      <c r="A49" s="13" t="s">
        <v>156</v>
      </c>
      <c r="C49" s="25" t="n">
        <f aca="false">J43</f>
        <v>51.0831073651833</v>
      </c>
    </row>
    <row r="50" customFormat="false" ht="15" hidden="false" customHeight="false" outlineLevel="0" collapsed="false">
      <c r="A50" s="13" t="s">
        <v>157</v>
      </c>
      <c r="C50" s="24" t="n">
        <f aca="false">K43+I43</f>
        <v>2605.14198046885</v>
      </c>
    </row>
    <row r="51" customFormat="false" ht="15" hidden="false" customHeight="false" outlineLevel="0" collapsed="false">
      <c r="A51" s="13" t="s">
        <v>158</v>
      </c>
      <c r="C51" s="24" t="n">
        <f aca="false">SUM(M32:M43)</f>
        <v>31808.5116345936</v>
      </c>
    </row>
    <row r="52" customFormat="false" ht="15" hidden="false" customHeight="false" outlineLevel="0" collapsed="false">
      <c r="A52" s="13" t="s">
        <v>159</v>
      </c>
      <c r="C52" s="27" t="n">
        <f aca="false">IF(G43=0,0,M43/G43)</f>
        <v>0.811231611768499</v>
      </c>
    </row>
    <row r="53" customFormat="false" ht="15" hidden="false" customHeight="false" outlineLevel="0" collapsed="false">
      <c r="A53" s="13" t="s">
        <v>160</v>
      </c>
      <c r="C53" s="27" t="n">
        <f aca="false">Retentie!$C$38*Aannames!$C$9*Aannames!$C$10*(1-Aannames!$C$11)</f>
        <v>0.5129376</v>
      </c>
    </row>
    <row r="54" customFormat="false" ht="15" hidden="false" customHeight="false" outlineLevel="0" collapsed="false">
      <c r="A54" s="13" t="s">
        <v>161</v>
      </c>
      <c r="C54" s="27" t="n">
        <f aca="false">SUM(R8:R43)/SUM(F8:F43)</f>
        <v>0.474108930040467</v>
      </c>
    </row>
    <row r="55" customFormat="false" ht="15" hidden="false" customHeight="false" outlineLevel="0" collapsed="false">
      <c r="A55" s="13" t="s">
        <v>162</v>
      </c>
      <c r="C55" s="28" t="n">
        <f aca="false">IF(C54=0,0,C53/C54)</f>
        <v>1.08189820418742</v>
      </c>
    </row>
    <row r="56" customFormat="false" ht="15" hidden="false" customHeight="false" outlineLevel="0" collapsed="false">
      <c r="A56" s="13" t="s">
        <v>163</v>
      </c>
      <c r="C56" s="24" t="n">
        <f aca="false">Aannames!$C$17*Aannames!$C$22/Aannames!$C$18</f>
        <v>1692</v>
      </c>
    </row>
    <row r="57" customFormat="false" ht="15" hidden="false" customHeight="false" outlineLevel="0" collapsed="false">
      <c r="A57" s="13" t="s">
        <v>164</v>
      </c>
      <c r="C57" s="24" t="n">
        <f aca="false">Aannames!$C$21</f>
        <v>120</v>
      </c>
    </row>
    <row r="58" customFormat="false" ht="15" hidden="false" customHeight="false" outlineLevel="0" collapsed="false">
      <c r="A58" s="13" t="s">
        <v>165</v>
      </c>
      <c r="C58" s="25" t="n">
        <f aca="false">IF(C57=0,0,C56/C57)</f>
        <v>14.1</v>
      </c>
    </row>
    <row r="59" customFormat="false" ht="15" hidden="false" customHeight="false" outlineLevel="0" collapsed="false">
      <c r="A59" s="13" t="s">
        <v>166</v>
      </c>
      <c r="C59" s="25" t="n">
        <f aca="false">Aannames!$C$21/(Aannames!$C$17*Aannames!$C$22)</f>
        <v>2.83687943262411</v>
      </c>
    </row>
    <row r="60" customFormat="false" ht="15" hidden="false" customHeight="false" outlineLevel="0" collapsed="false">
      <c r="A60" s="13" t="s">
        <v>167</v>
      </c>
      <c r="C60" s="24" t="n">
        <f aca="false">-MIN(V8:V43)</f>
        <v>3660.06158798959</v>
      </c>
    </row>
    <row r="61" customFormat="false" ht="15" hidden="false" customHeight="false" outlineLevel="0" collapsed="false">
      <c r="A61" s="13" t="s">
        <v>168</v>
      </c>
      <c r="C61" s="24" t="n">
        <f aca="false">V43</f>
        <v>36062.1452707982</v>
      </c>
    </row>
    <row r="62" customFormat="false" ht="15" hidden="false" customHeight="false" outlineLevel="0" collapsed="false">
      <c r="A62" s="13" t="s">
        <v>169</v>
      </c>
      <c r="C62" s="7" t="n">
        <f aca="false">IF(V43&lt;0,"niet in 36 mnd",SUMPRODUCT(--($V$8:$V$43&lt;0))+1)</f>
        <v>13</v>
      </c>
      <c r="E62" s="2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7" min="2" style="0" width="8"/>
  </cols>
  <sheetData>
    <row r="1" customFormat="false" ht="15" hidden="false" customHeight="false" outlineLevel="0" collapsed="false">
      <c r="A1" s="5" t="s">
        <v>171</v>
      </c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  <c r="N1" s="11" t="n">
        <v>13</v>
      </c>
      <c r="O1" s="11" t="n">
        <v>14</v>
      </c>
      <c r="P1" s="11" t="n">
        <v>15</v>
      </c>
      <c r="Q1" s="11" t="n">
        <v>16</v>
      </c>
      <c r="R1" s="11" t="n">
        <v>17</v>
      </c>
      <c r="S1" s="11" t="n">
        <v>18</v>
      </c>
      <c r="T1" s="11" t="n">
        <v>19</v>
      </c>
      <c r="U1" s="11" t="n">
        <v>20</v>
      </c>
      <c r="V1" s="11" t="n">
        <v>21</v>
      </c>
      <c r="W1" s="11" t="n">
        <v>22</v>
      </c>
      <c r="X1" s="11" t="n">
        <v>23</v>
      </c>
      <c r="Y1" s="11" t="n">
        <v>24</v>
      </c>
      <c r="Z1" s="11" t="n">
        <v>25</v>
      </c>
      <c r="AA1" s="11" t="n">
        <v>26</v>
      </c>
      <c r="AB1" s="11" t="n">
        <v>27</v>
      </c>
      <c r="AC1" s="11" t="n">
        <v>28</v>
      </c>
      <c r="AD1" s="11" t="n">
        <v>29</v>
      </c>
      <c r="AE1" s="11" t="n">
        <v>30</v>
      </c>
      <c r="AF1" s="11" t="n">
        <v>31</v>
      </c>
      <c r="AG1" s="11" t="n">
        <v>32</v>
      </c>
      <c r="AH1" s="11" t="n">
        <v>33</v>
      </c>
      <c r="AI1" s="11" t="n">
        <v>34</v>
      </c>
      <c r="AJ1" s="11" t="n">
        <v>35</v>
      </c>
      <c r="AK1" s="11" t="n">
        <v>36</v>
      </c>
    </row>
    <row r="2" customFormat="false" ht="15" hidden="false" customHeight="false" outlineLevel="0" collapsed="false">
      <c r="A2" s="5" t="n">
        <v>1</v>
      </c>
      <c r="B2" s="23" t="n">
        <f aca="false">ModelBasis!$F$8*Retentie!$C$2</f>
        <v>495</v>
      </c>
      <c r="C2" s="23" t="n">
        <f aca="false">ModelBasis!$F$8*Retentie!$C$3</f>
        <v>198</v>
      </c>
      <c r="D2" s="23" t="n">
        <f aca="false">ModelBasis!$F$8*Retentie!$C$4</f>
        <v>148.5</v>
      </c>
      <c r="E2" s="23" t="n">
        <f aca="false">ModelBasis!$F$8*Retentie!$C$5</f>
        <v>118.8</v>
      </c>
      <c r="F2" s="23" t="n">
        <f aca="false">ModelBasis!$F$8*Retentie!$C$6</f>
        <v>99</v>
      </c>
      <c r="G2" s="23" t="n">
        <f aca="false">ModelBasis!$F$8*Retentie!$C$7</f>
        <v>89.1</v>
      </c>
      <c r="H2" s="23" t="n">
        <f aca="false">ModelBasis!$F$8*Retentie!$C$8</f>
        <v>79.2</v>
      </c>
      <c r="I2" s="23" t="n">
        <f aca="false">ModelBasis!$F$8*Retentie!$C$9</f>
        <v>74.25</v>
      </c>
      <c r="J2" s="23" t="n">
        <f aca="false">ModelBasis!$F$8*Retentie!$C$10</f>
        <v>69.3</v>
      </c>
      <c r="K2" s="23" t="n">
        <f aca="false">ModelBasis!$F$8*Retentie!$C$11</f>
        <v>64.35</v>
      </c>
      <c r="L2" s="23" t="n">
        <f aca="false">ModelBasis!$F$8*Retentie!$C$12</f>
        <v>59.4</v>
      </c>
      <c r="M2" s="23" t="n">
        <f aca="false">ModelBasis!$F$8*Retentie!$C$13</f>
        <v>56.925</v>
      </c>
      <c r="N2" s="23" t="n">
        <f aca="false">ModelBasis!$F$8*Retentie!$C$14</f>
        <v>54.45</v>
      </c>
      <c r="O2" s="23" t="n">
        <f aca="false">ModelBasis!$F$8*Retentie!$C$15</f>
        <v>53.46</v>
      </c>
      <c r="P2" s="23" t="n">
        <f aca="false">ModelBasis!$F$8*Retentie!$C$16</f>
        <v>52.47</v>
      </c>
      <c r="Q2" s="23" t="n">
        <f aca="false">ModelBasis!$F$8*Retentie!$C$17</f>
        <v>51.48</v>
      </c>
      <c r="R2" s="23" t="n">
        <f aca="false">ModelBasis!$F$8*Retentie!$C$18</f>
        <v>50.49</v>
      </c>
      <c r="S2" s="23" t="n">
        <f aca="false">ModelBasis!$F$8*Retentie!$C$19</f>
        <v>49.5</v>
      </c>
      <c r="T2" s="23" t="n">
        <f aca="false">ModelBasis!$F$8*Retentie!$C$20</f>
        <v>48.51</v>
      </c>
      <c r="U2" s="23" t="n">
        <f aca="false">ModelBasis!$F$8*Retentie!$C$21</f>
        <v>48.015</v>
      </c>
      <c r="V2" s="23" t="n">
        <f aca="false">ModelBasis!$F$8*Retentie!$C$22</f>
        <v>47.52</v>
      </c>
      <c r="W2" s="23" t="n">
        <f aca="false">ModelBasis!$F$8*Retentie!$C$23</f>
        <v>47.025</v>
      </c>
      <c r="X2" s="23" t="n">
        <f aca="false">ModelBasis!$F$8*Retentie!$C$24</f>
        <v>46.53</v>
      </c>
      <c r="Y2" s="23" t="n">
        <f aca="false">ModelBasis!$F$8*Retentie!$C$25</f>
        <v>46.035</v>
      </c>
      <c r="Z2" s="23" t="n">
        <f aca="false">ModelBasis!$F$8*Retentie!$C$26</f>
        <v>45.54</v>
      </c>
      <c r="AA2" s="23" t="n">
        <f aca="false">ModelBasis!$F$8*Retentie!$C$27</f>
        <v>45.045</v>
      </c>
      <c r="AB2" s="23" t="n">
        <f aca="false">ModelBasis!$F$8*Retentie!$C$28</f>
        <v>44.55</v>
      </c>
      <c r="AC2" s="23" t="n">
        <f aca="false">ModelBasis!$F$8*Retentie!$C$29</f>
        <v>44.055</v>
      </c>
      <c r="AD2" s="23" t="n">
        <f aca="false">ModelBasis!$F$8*Retentie!$C$30</f>
        <v>43.56</v>
      </c>
      <c r="AE2" s="23" t="n">
        <f aca="false">ModelBasis!$F$8*Retentie!$C$31</f>
        <v>43.065</v>
      </c>
      <c r="AF2" s="23" t="n">
        <f aca="false">ModelBasis!$F$8*Retentie!$C$32</f>
        <v>42.57</v>
      </c>
      <c r="AG2" s="23" t="n">
        <f aca="false">ModelBasis!$F$8*Retentie!$C$33</f>
        <v>42.075</v>
      </c>
      <c r="AH2" s="23" t="n">
        <f aca="false">ModelBasis!$F$8*Retentie!$C$34</f>
        <v>41.58</v>
      </c>
      <c r="AI2" s="23" t="n">
        <f aca="false">ModelBasis!$F$8*Retentie!$C$35</f>
        <v>41.085</v>
      </c>
      <c r="AJ2" s="23" t="n">
        <f aca="false">ModelBasis!$F$8*Retentie!$C$36</f>
        <v>40.59</v>
      </c>
      <c r="AK2" s="23" t="n">
        <f aca="false">ModelBasis!$F$8*Retentie!$C$37</f>
        <v>40.095</v>
      </c>
    </row>
    <row r="3" customFormat="false" ht="15" hidden="false" customHeight="false" outlineLevel="0" collapsed="false">
      <c r="A3" s="5" t="n">
        <v>2</v>
      </c>
      <c r="C3" s="23" t="n">
        <f aca="false">ModelBasis!$F$9*Retentie!$C$2</f>
        <v>143</v>
      </c>
      <c r="D3" s="23" t="n">
        <f aca="false">ModelBasis!$F$9*Retentie!$C$3</f>
        <v>57.2</v>
      </c>
      <c r="E3" s="23" t="n">
        <f aca="false">ModelBasis!$F$9*Retentie!$C$4</f>
        <v>42.9</v>
      </c>
      <c r="F3" s="23" t="n">
        <f aca="false">ModelBasis!$F$9*Retentie!$C$5</f>
        <v>34.32</v>
      </c>
      <c r="G3" s="23" t="n">
        <f aca="false">ModelBasis!$F$9*Retentie!$C$6</f>
        <v>28.6</v>
      </c>
      <c r="H3" s="23" t="n">
        <f aca="false">ModelBasis!$F$9*Retentie!$C$7</f>
        <v>25.74</v>
      </c>
      <c r="I3" s="23" t="n">
        <f aca="false">ModelBasis!$F$9*Retentie!$C$8</f>
        <v>22.88</v>
      </c>
      <c r="J3" s="23" t="n">
        <f aca="false">ModelBasis!$F$9*Retentie!$C$9</f>
        <v>21.45</v>
      </c>
      <c r="K3" s="23" t="n">
        <f aca="false">ModelBasis!$F$9*Retentie!$C$10</f>
        <v>20.02</v>
      </c>
      <c r="L3" s="23" t="n">
        <f aca="false">ModelBasis!$F$9*Retentie!$C$11</f>
        <v>18.59</v>
      </c>
      <c r="M3" s="23" t="n">
        <f aca="false">ModelBasis!$F$9*Retentie!$C$12</f>
        <v>17.16</v>
      </c>
      <c r="N3" s="23" t="n">
        <f aca="false">ModelBasis!$F$9*Retentie!$C$13</f>
        <v>16.445</v>
      </c>
      <c r="O3" s="23" t="n">
        <f aca="false">ModelBasis!$F$9*Retentie!$C$14</f>
        <v>15.73</v>
      </c>
      <c r="P3" s="23" t="n">
        <f aca="false">ModelBasis!$F$9*Retentie!$C$15</f>
        <v>15.444</v>
      </c>
      <c r="Q3" s="23" t="n">
        <f aca="false">ModelBasis!$F$9*Retentie!$C$16</f>
        <v>15.158</v>
      </c>
      <c r="R3" s="23" t="n">
        <f aca="false">ModelBasis!$F$9*Retentie!$C$17</f>
        <v>14.872</v>
      </c>
      <c r="S3" s="23" t="n">
        <f aca="false">ModelBasis!$F$9*Retentie!$C$18</f>
        <v>14.586</v>
      </c>
      <c r="T3" s="23" t="n">
        <f aca="false">ModelBasis!$F$9*Retentie!$C$19</f>
        <v>14.3</v>
      </c>
      <c r="U3" s="23" t="n">
        <f aca="false">ModelBasis!$F$9*Retentie!$C$20</f>
        <v>14.014</v>
      </c>
      <c r="V3" s="23" t="n">
        <f aca="false">ModelBasis!$F$9*Retentie!$C$21</f>
        <v>13.871</v>
      </c>
      <c r="W3" s="23" t="n">
        <f aca="false">ModelBasis!$F$9*Retentie!$C$22</f>
        <v>13.728</v>
      </c>
      <c r="X3" s="23" t="n">
        <f aca="false">ModelBasis!$F$9*Retentie!$C$23</f>
        <v>13.585</v>
      </c>
      <c r="Y3" s="23" t="n">
        <f aca="false">ModelBasis!$F$9*Retentie!$C$24</f>
        <v>13.442</v>
      </c>
      <c r="Z3" s="23" t="n">
        <f aca="false">ModelBasis!$F$9*Retentie!$C$25</f>
        <v>13.299</v>
      </c>
      <c r="AA3" s="23" t="n">
        <f aca="false">ModelBasis!$F$9*Retentie!$C$26</f>
        <v>13.156</v>
      </c>
      <c r="AB3" s="23" t="n">
        <f aca="false">ModelBasis!$F$9*Retentie!$C$27</f>
        <v>13.013</v>
      </c>
      <c r="AC3" s="23" t="n">
        <f aca="false">ModelBasis!$F$9*Retentie!$C$28</f>
        <v>12.87</v>
      </c>
      <c r="AD3" s="23" t="n">
        <f aca="false">ModelBasis!$F$9*Retentie!$C$29</f>
        <v>12.727</v>
      </c>
      <c r="AE3" s="23" t="n">
        <f aca="false">ModelBasis!$F$9*Retentie!$C$30</f>
        <v>12.584</v>
      </c>
      <c r="AF3" s="23" t="n">
        <f aca="false">ModelBasis!$F$9*Retentie!$C$31</f>
        <v>12.441</v>
      </c>
      <c r="AG3" s="23" t="n">
        <f aca="false">ModelBasis!$F$9*Retentie!$C$32</f>
        <v>12.298</v>
      </c>
      <c r="AH3" s="23" t="n">
        <f aca="false">ModelBasis!$F$9*Retentie!$C$33</f>
        <v>12.155</v>
      </c>
      <c r="AI3" s="23" t="n">
        <f aca="false">ModelBasis!$F$9*Retentie!$C$34</f>
        <v>12.012</v>
      </c>
      <c r="AJ3" s="23" t="n">
        <f aca="false">ModelBasis!$F$9*Retentie!$C$35</f>
        <v>11.869</v>
      </c>
      <c r="AK3" s="23" t="n">
        <f aca="false">ModelBasis!$F$9*Retentie!$C$36</f>
        <v>11.726</v>
      </c>
    </row>
    <row r="4" customFormat="false" ht="15" hidden="false" customHeight="false" outlineLevel="0" collapsed="false">
      <c r="A4" s="5" t="n">
        <v>3</v>
      </c>
      <c r="D4" s="23" t="n">
        <f aca="false">ModelBasis!$F$10*Retentie!$C$2</f>
        <v>148.72</v>
      </c>
      <c r="E4" s="23" t="n">
        <f aca="false">ModelBasis!$F$10*Retentie!$C$3</f>
        <v>59.488</v>
      </c>
      <c r="F4" s="23" t="n">
        <f aca="false">ModelBasis!$F$10*Retentie!$C$4</f>
        <v>44.616</v>
      </c>
      <c r="G4" s="23" t="n">
        <f aca="false">ModelBasis!$F$10*Retentie!$C$5</f>
        <v>35.6928</v>
      </c>
      <c r="H4" s="23" t="n">
        <f aca="false">ModelBasis!$F$10*Retentie!$C$6</f>
        <v>29.744</v>
      </c>
      <c r="I4" s="23" t="n">
        <f aca="false">ModelBasis!$F$10*Retentie!$C$7</f>
        <v>26.7696</v>
      </c>
      <c r="J4" s="23" t="n">
        <f aca="false">ModelBasis!$F$10*Retentie!$C$8</f>
        <v>23.7952</v>
      </c>
      <c r="K4" s="23" t="n">
        <f aca="false">ModelBasis!$F$10*Retentie!$C$9</f>
        <v>22.308</v>
      </c>
      <c r="L4" s="23" t="n">
        <f aca="false">ModelBasis!$F$10*Retentie!$C$10</f>
        <v>20.8208</v>
      </c>
      <c r="M4" s="23" t="n">
        <f aca="false">ModelBasis!$F$10*Retentie!$C$11</f>
        <v>19.3336</v>
      </c>
      <c r="N4" s="23" t="n">
        <f aca="false">ModelBasis!$F$10*Retentie!$C$12</f>
        <v>17.8464</v>
      </c>
      <c r="O4" s="23" t="n">
        <f aca="false">ModelBasis!$F$10*Retentie!$C$13</f>
        <v>17.1028</v>
      </c>
      <c r="P4" s="23" t="n">
        <f aca="false">ModelBasis!$F$10*Retentie!$C$14</f>
        <v>16.3592</v>
      </c>
      <c r="Q4" s="23" t="n">
        <f aca="false">ModelBasis!$F$10*Retentie!$C$15</f>
        <v>16.06176</v>
      </c>
      <c r="R4" s="23" t="n">
        <f aca="false">ModelBasis!$F$10*Retentie!$C$16</f>
        <v>15.76432</v>
      </c>
      <c r="S4" s="23" t="n">
        <f aca="false">ModelBasis!$F$10*Retentie!$C$17</f>
        <v>15.46688</v>
      </c>
      <c r="T4" s="23" t="n">
        <f aca="false">ModelBasis!$F$10*Retentie!$C$18</f>
        <v>15.16944</v>
      </c>
      <c r="U4" s="23" t="n">
        <f aca="false">ModelBasis!$F$10*Retentie!$C$19</f>
        <v>14.872</v>
      </c>
      <c r="V4" s="23" t="n">
        <f aca="false">ModelBasis!$F$10*Retentie!$C$20</f>
        <v>14.57456</v>
      </c>
      <c r="W4" s="23" t="n">
        <f aca="false">ModelBasis!$F$10*Retentie!$C$21</f>
        <v>14.42584</v>
      </c>
      <c r="X4" s="23" t="n">
        <f aca="false">ModelBasis!$F$10*Retentie!$C$22</f>
        <v>14.27712</v>
      </c>
      <c r="Y4" s="23" t="n">
        <f aca="false">ModelBasis!$F$10*Retentie!$C$23</f>
        <v>14.1284</v>
      </c>
      <c r="Z4" s="23" t="n">
        <f aca="false">ModelBasis!$F$10*Retentie!$C$24</f>
        <v>13.97968</v>
      </c>
      <c r="AA4" s="23" t="n">
        <f aca="false">ModelBasis!$F$10*Retentie!$C$25</f>
        <v>13.83096</v>
      </c>
      <c r="AB4" s="23" t="n">
        <f aca="false">ModelBasis!$F$10*Retentie!$C$26</f>
        <v>13.68224</v>
      </c>
      <c r="AC4" s="23" t="n">
        <f aca="false">ModelBasis!$F$10*Retentie!$C$27</f>
        <v>13.53352</v>
      </c>
      <c r="AD4" s="23" t="n">
        <f aca="false">ModelBasis!$F$10*Retentie!$C$28</f>
        <v>13.3848</v>
      </c>
      <c r="AE4" s="23" t="n">
        <f aca="false">ModelBasis!$F$10*Retentie!$C$29</f>
        <v>13.23608</v>
      </c>
      <c r="AF4" s="23" t="n">
        <f aca="false">ModelBasis!$F$10*Retentie!$C$30</f>
        <v>13.08736</v>
      </c>
      <c r="AG4" s="23" t="n">
        <f aca="false">ModelBasis!$F$10*Retentie!$C$31</f>
        <v>12.93864</v>
      </c>
      <c r="AH4" s="23" t="n">
        <f aca="false">ModelBasis!$F$10*Retentie!$C$32</f>
        <v>12.78992</v>
      </c>
      <c r="AI4" s="23" t="n">
        <f aca="false">ModelBasis!$F$10*Retentie!$C$33</f>
        <v>12.6412</v>
      </c>
      <c r="AJ4" s="23" t="n">
        <f aca="false">ModelBasis!$F$10*Retentie!$C$34</f>
        <v>12.49248</v>
      </c>
      <c r="AK4" s="23" t="n">
        <f aca="false">ModelBasis!$F$10*Retentie!$C$35</f>
        <v>12.34376</v>
      </c>
    </row>
    <row r="5" customFormat="false" ht="15" hidden="false" customHeight="false" outlineLevel="0" collapsed="false">
      <c r="A5" s="5" t="n">
        <v>4</v>
      </c>
      <c r="E5" s="23" t="n">
        <f aca="false">ModelBasis!$F$11*Retentie!$C$2</f>
        <v>154.6688</v>
      </c>
      <c r="F5" s="23" t="n">
        <f aca="false">ModelBasis!$F$11*Retentie!$C$3</f>
        <v>61.86752</v>
      </c>
      <c r="G5" s="23" t="n">
        <f aca="false">ModelBasis!$F$11*Retentie!$C$4</f>
        <v>46.40064</v>
      </c>
      <c r="H5" s="23" t="n">
        <f aca="false">ModelBasis!$F$11*Retentie!$C$5</f>
        <v>37.120512</v>
      </c>
      <c r="I5" s="23" t="n">
        <f aca="false">ModelBasis!$F$11*Retentie!$C$6</f>
        <v>30.93376</v>
      </c>
      <c r="J5" s="23" t="n">
        <f aca="false">ModelBasis!$F$11*Retentie!$C$7</f>
        <v>27.840384</v>
      </c>
      <c r="K5" s="23" t="n">
        <f aca="false">ModelBasis!$F$11*Retentie!$C$8</f>
        <v>24.747008</v>
      </c>
      <c r="L5" s="23" t="n">
        <f aca="false">ModelBasis!$F$11*Retentie!$C$9</f>
        <v>23.20032</v>
      </c>
      <c r="M5" s="23" t="n">
        <f aca="false">ModelBasis!$F$11*Retentie!$C$10</f>
        <v>21.653632</v>
      </c>
      <c r="N5" s="23" t="n">
        <f aca="false">ModelBasis!$F$11*Retentie!$C$11</f>
        <v>20.106944</v>
      </c>
      <c r="O5" s="23" t="n">
        <f aca="false">ModelBasis!$F$11*Retentie!$C$12</f>
        <v>18.560256</v>
      </c>
      <c r="P5" s="23" t="n">
        <f aca="false">ModelBasis!$F$11*Retentie!$C$13</f>
        <v>17.786912</v>
      </c>
      <c r="Q5" s="23" t="n">
        <f aca="false">ModelBasis!$F$11*Retentie!$C$14</f>
        <v>17.013568</v>
      </c>
      <c r="R5" s="23" t="n">
        <f aca="false">ModelBasis!$F$11*Retentie!$C$15</f>
        <v>16.7042304</v>
      </c>
      <c r="S5" s="23" t="n">
        <f aca="false">ModelBasis!$F$11*Retentie!$C$16</f>
        <v>16.3948928</v>
      </c>
      <c r="T5" s="23" t="n">
        <f aca="false">ModelBasis!$F$11*Retentie!$C$17</f>
        <v>16.0855552</v>
      </c>
      <c r="U5" s="23" t="n">
        <f aca="false">ModelBasis!$F$11*Retentie!$C$18</f>
        <v>15.7762176</v>
      </c>
      <c r="V5" s="23" t="n">
        <f aca="false">ModelBasis!$F$11*Retentie!$C$19</f>
        <v>15.46688</v>
      </c>
      <c r="W5" s="23" t="n">
        <f aca="false">ModelBasis!$F$11*Retentie!$C$20</f>
        <v>15.1575424</v>
      </c>
      <c r="X5" s="23" t="n">
        <f aca="false">ModelBasis!$F$11*Retentie!$C$21</f>
        <v>15.0028736</v>
      </c>
      <c r="Y5" s="23" t="n">
        <f aca="false">ModelBasis!$F$11*Retentie!$C$22</f>
        <v>14.8482048</v>
      </c>
      <c r="Z5" s="23" t="n">
        <f aca="false">ModelBasis!$F$11*Retentie!$C$23</f>
        <v>14.693536</v>
      </c>
      <c r="AA5" s="23" t="n">
        <f aca="false">ModelBasis!$F$11*Retentie!$C$24</f>
        <v>14.5388672</v>
      </c>
      <c r="AB5" s="23" t="n">
        <f aca="false">ModelBasis!$F$11*Retentie!$C$25</f>
        <v>14.3841984</v>
      </c>
      <c r="AC5" s="23" t="n">
        <f aca="false">ModelBasis!$F$11*Retentie!$C$26</f>
        <v>14.2295296</v>
      </c>
      <c r="AD5" s="23" t="n">
        <f aca="false">ModelBasis!$F$11*Retentie!$C$27</f>
        <v>14.0748608</v>
      </c>
      <c r="AE5" s="23" t="n">
        <f aca="false">ModelBasis!$F$11*Retentie!$C$28</f>
        <v>13.920192</v>
      </c>
      <c r="AF5" s="23" t="n">
        <f aca="false">ModelBasis!$F$11*Retentie!$C$29</f>
        <v>13.7655232</v>
      </c>
      <c r="AG5" s="23" t="n">
        <f aca="false">ModelBasis!$F$11*Retentie!$C$30</f>
        <v>13.6108544</v>
      </c>
      <c r="AH5" s="23" t="n">
        <f aca="false">ModelBasis!$F$11*Retentie!$C$31</f>
        <v>13.4561856</v>
      </c>
      <c r="AI5" s="23" t="n">
        <f aca="false">ModelBasis!$F$11*Retentie!$C$32</f>
        <v>13.3015168</v>
      </c>
      <c r="AJ5" s="23" t="n">
        <f aca="false">ModelBasis!$F$11*Retentie!$C$33</f>
        <v>13.146848</v>
      </c>
      <c r="AK5" s="23" t="n">
        <f aca="false">ModelBasis!$F$11*Retentie!$C$34</f>
        <v>12.9921792</v>
      </c>
    </row>
    <row r="6" customFormat="false" ht="15" hidden="false" customHeight="false" outlineLevel="0" collapsed="false">
      <c r="A6" s="5" t="n">
        <v>5</v>
      </c>
      <c r="F6" s="23" t="n">
        <f aca="false">ModelBasis!$F$12*Retentie!$C$2</f>
        <v>160.855552</v>
      </c>
      <c r="G6" s="23" t="n">
        <f aca="false">ModelBasis!$F$12*Retentie!$C$3</f>
        <v>64.3422208</v>
      </c>
      <c r="H6" s="23" t="n">
        <f aca="false">ModelBasis!$F$12*Retentie!$C$4</f>
        <v>48.2566656</v>
      </c>
      <c r="I6" s="23" t="n">
        <f aca="false">ModelBasis!$F$12*Retentie!$C$5</f>
        <v>38.60533248</v>
      </c>
      <c r="J6" s="23" t="n">
        <f aca="false">ModelBasis!$F$12*Retentie!$C$6</f>
        <v>32.1711104</v>
      </c>
      <c r="K6" s="23" t="n">
        <f aca="false">ModelBasis!$F$12*Retentie!$C$7</f>
        <v>28.95399936</v>
      </c>
      <c r="L6" s="23" t="n">
        <f aca="false">ModelBasis!$F$12*Retentie!$C$8</f>
        <v>25.73688832</v>
      </c>
      <c r="M6" s="23" t="n">
        <f aca="false">ModelBasis!$F$12*Retentie!$C$9</f>
        <v>24.1283328</v>
      </c>
      <c r="N6" s="23" t="n">
        <f aca="false">ModelBasis!$F$12*Retentie!$C$10</f>
        <v>22.51977728</v>
      </c>
      <c r="O6" s="23" t="n">
        <f aca="false">ModelBasis!$F$12*Retentie!$C$11</f>
        <v>20.91122176</v>
      </c>
      <c r="P6" s="23" t="n">
        <f aca="false">ModelBasis!$F$12*Retentie!$C$12</f>
        <v>19.30266624</v>
      </c>
      <c r="Q6" s="23" t="n">
        <f aca="false">ModelBasis!$F$12*Retentie!$C$13</f>
        <v>18.49838848</v>
      </c>
      <c r="R6" s="23" t="n">
        <f aca="false">ModelBasis!$F$12*Retentie!$C$14</f>
        <v>17.69411072</v>
      </c>
      <c r="S6" s="23" t="n">
        <f aca="false">ModelBasis!$F$12*Retentie!$C$15</f>
        <v>17.372399616</v>
      </c>
      <c r="T6" s="23" t="n">
        <f aca="false">ModelBasis!$F$12*Retentie!$C$16</f>
        <v>17.050688512</v>
      </c>
      <c r="U6" s="23" t="n">
        <f aca="false">ModelBasis!$F$12*Retentie!$C$17</f>
        <v>16.728977408</v>
      </c>
      <c r="V6" s="23" t="n">
        <f aca="false">ModelBasis!$F$12*Retentie!$C$18</f>
        <v>16.407266304</v>
      </c>
      <c r="W6" s="23" t="n">
        <f aca="false">ModelBasis!$F$12*Retentie!$C$19</f>
        <v>16.0855552</v>
      </c>
      <c r="X6" s="23" t="n">
        <f aca="false">ModelBasis!$F$12*Retentie!$C$20</f>
        <v>15.763844096</v>
      </c>
      <c r="Y6" s="23" t="n">
        <f aca="false">ModelBasis!$F$12*Retentie!$C$21</f>
        <v>15.602988544</v>
      </c>
      <c r="Z6" s="23" t="n">
        <f aca="false">ModelBasis!$F$12*Retentie!$C$22</f>
        <v>15.442132992</v>
      </c>
      <c r="AA6" s="23" t="n">
        <f aca="false">ModelBasis!$F$12*Retentie!$C$23</f>
        <v>15.28127744</v>
      </c>
      <c r="AB6" s="23" t="n">
        <f aca="false">ModelBasis!$F$12*Retentie!$C$24</f>
        <v>15.120421888</v>
      </c>
      <c r="AC6" s="23" t="n">
        <f aca="false">ModelBasis!$F$12*Retentie!$C$25</f>
        <v>14.959566336</v>
      </c>
      <c r="AD6" s="23" t="n">
        <f aca="false">ModelBasis!$F$12*Retentie!$C$26</f>
        <v>14.798710784</v>
      </c>
      <c r="AE6" s="23" t="n">
        <f aca="false">ModelBasis!$F$12*Retentie!$C$27</f>
        <v>14.637855232</v>
      </c>
      <c r="AF6" s="23" t="n">
        <f aca="false">ModelBasis!$F$12*Retentie!$C$28</f>
        <v>14.47699968</v>
      </c>
      <c r="AG6" s="23" t="n">
        <f aca="false">ModelBasis!$F$12*Retentie!$C$29</f>
        <v>14.316144128</v>
      </c>
      <c r="AH6" s="23" t="n">
        <f aca="false">ModelBasis!$F$12*Retentie!$C$30</f>
        <v>14.155288576</v>
      </c>
      <c r="AI6" s="23" t="n">
        <f aca="false">ModelBasis!$F$12*Retentie!$C$31</f>
        <v>13.994433024</v>
      </c>
      <c r="AJ6" s="23" t="n">
        <f aca="false">ModelBasis!$F$12*Retentie!$C$32</f>
        <v>13.833577472</v>
      </c>
      <c r="AK6" s="23" t="n">
        <f aca="false">ModelBasis!$F$12*Retentie!$C$33</f>
        <v>13.67272192</v>
      </c>
    </row>
    <row r="7" customFormat="false" ht="15" hidden="false" customHeight="false" outlineLevel="0" collapsed="false">
      <c r="A7" s="5" t="n">
        <v>6</v>
      </c>
      <c r="G7" s="23" t="n">
        <f aca="false">ModelBasis!$F$13*Retentie!$C$2</f>
        <v>167.28977408</v>
      </c>
      <c r="H7" s="23" t="n">
        <f aca="false">ModelBasis!$F$13*Retentie!$C$3</f>
        <v>66.915909632</v>
      </c>
      <c r="I7" s="23" t="n">
        <f aca="false">ModelBasis!$F$13*Retentie!$C$4</f>
        <v>50.186932224</v>
      </c>
      <c r="J7" s="23" t="n">
        <f aca="false">ModelBasis!$F$13*Retentie!$C$5</f>
        <v>40.1495457792</v>
      </c>
      <c r="K7" s="23" t="n">
        <f aca="false">ModelBasis!$F$13*Retentie!$C$6</f>
        <v>33.457954816</v>
      </c>
      <c r="L7" s="23" t="n">
        <f aca="false">ModelBasis!$F$13*Retentie!$C$7</f>
        <v>30.1121593344</v>
      </c>
      <c r="M7" s="23" t="n">
        <f aca="false">ModelBasis!$F$13*Retentie!$C$8</f>
        <v>26.7663638528</v>
      </c>
      <c r="N7" s="23" t="n">
        <f aca="false">ModelBasis!$F$13*Retentie!$C$9</f>
        <v>25.093466112</v>
      </c>
      <c r="O7" s="23" t="n">
        <f aca="false">ModelBasis!$F$13*Retentie!$C$10</f>
        <v>23.4205683712</v>
      </c>
      <c r="P7" s="23" t="n">
        <f aca="false">ModelBasis!$F$13*Retentie!$C$11</f>
        <v>21.7476706304</v>
      </c>
      <c r="Q7" s="23" t="n">
        <f aca="false">ModelBasis!$F$13*Retentie!$C$12</f>
        <v>20.0747728896</v>
      </c>
      <c r="R7" s="23" t="n">
        <f aca="false">ModelBasis!$F$13*Retentie!$C$13</f>
        <v>19.2383240192</v>
      </c>
      <c r="S7" s="23" t="n">
        <f aca="false">ModelBasis!$F$13*Retentie!$C$14</f>
        <v>18.4018751488</v>
      </c>
      <c r="T7" s="23" t="n">
        <f aca="false">ModelBasis!$F$13*Retentie!$C$15</f>
        <v>18.06729560064</v>
      </c>
      <c r="U7" s="23" t="n">
        <f aca="false">ModelBasis!$F$13*Retentie!$C$16</f>
        <v>17.73271605248</v>
      </c>
      <c r="V7" s="23" t="n">
        <f aca="false">ModelBasis!$F$13*Retentie!$C$17</f>
        <v>17.39813650432</v>
      </c>
      <c r="W7" s="23" t="n">
        <f aca="false">ModelBasis!$F$13*Retentie!$C$18</f>
        <v>17.06355695616</v>
      </c>
      <c r="X7" s="23" t="n">
        <f aca="false">ModelBasis!$F$13*Retentie!$C$19</f>
        <v>16.728977408</v>
      </c>
      <c r="Y7" s="23" t="n">
        <f aca="false">ModelBasis!$F$13*Retentie!$C$20</f>
        <v>16.39439785984</v>
      </c>
      <c r="Z7" s="23" t="n">
        <f aca="false">ModelBasis!$F$13*Retentie!$C$21</f>
        <v>16.22710808576</v>
      </c>
      <c r="AA7" s="23" t="n">
        <f aca="false">ModelBasis!$F$13*Retentie!$C$22</f>
        <v>16.05981831168</v>
      </c>
      <c r="AB7" s="23" t="n">
        <f aca="false">ModelBasis!$F$13*Retentie!$C$23</f>
        <v>15.8925285376</v>
      </c>
      <c r="AC7" s="23" t="n">
        <f aca="false">ModelBasis!$F$13*Retentie!$C$24</f>
        <v>15.72523876352</v>
      </c>
      <c r="AD7" s="23" t="n">
        <f aca="false">ModelBasis!$F$13*Retentie!$C$25</f>
        <v>15.55794898944</v>
      </c>
      <c r="AE7" s="23" t="n">
        <f aca="false">ModelBasis!$F$13*Retentie!$C$26</f>
        <v>15.39065921536</v>
      </c>
      <c r="AF7" s="23" t="n">
        <f aca="false">ModelBasis!$F$13*Retentie!$C$27</f>
        <v>15.22336944128</v>
      </c>
      <c r="AG7" s="23" t="n">
        <f aca="false">ModelBasis!$F$13*Retentie!$C$28</f>
        <v>15.0560796672</v>
      </c>
      <c r="AH7" s="23" t="n">
        <f aca="false">ModelBasis!$F$13*Retentie!$C$29</f>
        <v>14.88878989312</v>
      </c>
      <c r="AI7" s="23" t="n">
        <f aca="false">ModelBasis!$F$13*Retentie!$C$30</f>
        <v>14.72150011904</v>
      </c>
      <c r="AJ7" s="23" t="n">
        <f aca="false">ModelBasis!$F$13*Retentie!$C$31</f>
        <v>14.55421034496</v>
      </c>
      <c r="AK7" s="23" t="n">
        <f aca="false">ModelBasis!$F$13*Retentie!$C$32</f>
        <v>14.38692057088</v>
      </c>
    </row>
    <row r="8" customFormat="false" ht="15" hidden="false" customHeight="false" outlineLevel="0" collapsed="false">
      <c r="A8" s="5" t="n">
        <v>7</v>
      </c>
      <c r="H8" s="23" t="n">
        <f aca="false">ModelBasis!$F$14*Retentie!$C$2</f>
        <v>173.9813650432</v>
      </c>
      <c r="I8" s="23" t="n">
        <f aca="false">ModelBasis!$F$14*Retentie!$C$3</f>
        <v>69.59254601728</v>
      </c>
      <c r="J8" s="23" t="n">
        <f aca="false">ModelBasis!$F$14*Retentie!$C$4</f>
        <v>52.19440951296</v>
      </c>
      <c r="K8" s="23" t="n">
        <f aca="false">ModelBasis!$F$14*Retentie!$C$5</f>
        <v>41.755527610368</v>
      </c>
      <c r="L8" s="23" t="n">
        <f aca="false">ModelBasis!$F$14*Retentie!$C$6</f>
        <v>34.79627300864</v>
      </c>
      <c r="M8" s="23" t="n">
        <f aca="false">ModelBasis!$F$14*Retentie!$C$7</f>
        <v>31.316645707776</v>
      </c>
      <c r="N8" s="23" t="n">
        <f aca="false">ModelBasis!$F$14*Retentie!$C$8</f>
        <v>27.837018406912</v>
      </c>
      <c r="O8" s="23" t="n">
        <f aca="false">ModelBasis!$F$14*Retentie!$C$9</f>
        <v>26.09720475648</v>
      </c>
      <c r="P8" s="23" t="n">
        <f aca="false">ModelBasis!$F$14*Retentie!$C$10</f>
        <v>24.357391106048</v>
      </c>
      <c r="Q8" s="23" t="n">
        <f aca="false">ModelBasis!$F$14*Retentie!$C$11</f>
        <v>22.617577455616</v>
      </c>
      <c r="R8" s="23" t="n">
        <f aca="false">ModelBasis!$F$14*Retentie!$C$12</f>
        <v>20.877763805184</v>
      </c>
      <c r="S8" s="23" t="n">
        <f aca="false">ModelBasis!$F$14*Retentie!$C$13</f>
        <v>20.007856979968</v>
      </c>
      <c r="T8" s="23" t="n">
        <f aca="false">ModelBasis!$F$14*Retentie!$C$14</f>
        <v>19.137950154752</v>
      </c>
      <c r="U8" s="23" t="n">
        <f aca="false">ModelBasis!$F$14*Retentie!$C$15</f>
        <v>18.7899874246656</v>
      </c>
      <c r="V8" s="23" t="n">
        <f aca="false">ModelBasis!$F$14*Retentie!$C$16</f>
        <v>18.4420246945792</v>
      </c>
      <c r="W8" s="23" t="n">
        <f aca="false">ModelBasis!$F$14*Retentie!$C$17</f>
        <v>18.0940619644928</v>
      </c>
      <c r="X8" s="23" t="n">
        <f aca="false">ModelBasis!$F$14*Retentie!$C$18</f>
        <v>17.7460992344064</v>
      </c>
      <c r="Y8" s="23" t="n">
        <f aca="false">ModelBasis!$F$14*Retentie!$C$19</f>
        <v>17.39813650432</v>
      </c>
      <c r="Z8" s="23" t="n">
        <f aca="false">ModelBasis!$F$14*Retentie!$C$20</f>
        <v>17.0501737742336</v>
      </c>
      <c r="AA8" s="23" t="n">
        <f aca="false">ModelBasis!$F$14*Retentie!$C$21</f>
        <v>16.8761924091904</v>
      </c>
      <c r="AB8" s="23" t="n">
        <f aca="false">ModelBasis!$F$14*Retentie!$C$22</f>
        <v>16.7022110441472</v>
      </c>
      <c r="AC8" s="23" t="n">
        <f aca="false">ModelBasis!$F$14*Retentie!$C$23</f>
        <v>16.528229679104</v>
      </c>
      <c r="AD8" s="23" t="n">
        <f aca="false">ModelBasis!$F$14*Retentie!$C$24</f>
        <v>16.3542483140608</v>
      </c>
      <c r="AE8" s="23" t="n">
        <f aca="false">ModelBasis!$F$14*Retentie!$C$25</f>
        <v>16.1802669490176</v>
      </c>
      <c r="AF8" s="23" t="n">
        <f aca="false">ModelBasis!$F$14*Retentie!$C$26</f>
        <v>16.0062855839744</v>
      </c>
      <c r="AG8" s="23" t="n">
        <f aca="false">ModelBasis!$F$14*Retentie!$C$27</f>
        <v>15.8323042189312</v>
      </c>
      <c r="AH8" s="23" t="n">
        <f aca="false">ModelBasis!$F$14*Retentie!$C$28</f>
        <v>15.658322853888</v>
      </c>
      <c r="AI8" s="23" t="n">
        <f aca="false">ModelBasis!$F$14*Retentie!$C$29</f>
        <v>15.4843414888448</v>
      </c>
      <c r="AJ8" s="23" t="n">
        <f aca="false">ModelBasis!$F$14*Retentie!$C$30</f>
        <v>15.3103601238016</v>
      </c>
      <c r="AK8" s="23" t="n">
        <f aca="false">ModelBasis!$F$14*Retentie!$C$31</f>
        <v>15.1363787587584</v>
      </c>
    </row>
    <row r="9" customFormat="false" ht="15" hidden="false" customHeight="false" outlineLevel="0" collapsed="false">
      <c r="A9" s="5" t="n">
        <v>8</v>
      </c>
      <c r="I9" s="23" t="n">
        <f aca="false">ModelBasis!$F$15*Retentie!$C$2</f>
        <v>180.940619644928</v>
      </c>
      <c r="J9" s="23" t="n">
        <f aca="false">ModelBasis!$F$15*Retentie!$C$3</f>
        <v>72.3762478579712</v>
      </c>
      <c r="K9" s="23" t="n">
        <f aca="false">ModelBasis!$F$15*Retentie!$C$4</f>
        <v>54.2821858934784</v>
      </c>
      <c r="L9" s="23" t="n">
        <f aca="false">ModelBasis!$F$15*Retentie!$C$5</f>
        <v>43.4257487147827</v>
      </c>
      <c r="M9" s="23" t="n">
        <f aca="false">ModelBasis!$F$15*Retentie!$C$6</f>
        <v>36.1881239289856</v>
      </c>
      <c r="N9" s="23" t="n">
        <f aca="false">ModelBasis!$F$15*Retentie!$C$7</f>
        <v>32.5693115360871</v>
      </c>
      <c r="O9" s="23" t="n">
        <f aca="false">ModelBasis!$F$15*Retentie!$C$8</f>
        <v>28.9504991431885</v>
      </c>
      <c r="P9" s="23" t="n">
        <f aca="false">ModelBasis!$F$15*Retentie!$C$9</f>
        <v>27.1410929467392</v>
      </c>
      <c r="Q9" s="23" t="n">
        <f aca="false">ModelBasis!$F$15*Retentie!$C$10</f>
        <v>25.3316867502899</v>
      </c>
      <c r="R9" s="23" t="n">
        <f aca="false">ModelBasis!$F$15*Retentie!$C$11</f>
        <v>23.5222805538407</v>
      </c>
      <c r="S9" s="23" t="n">
        <f aca="false">ModelBasis!$F$15*Retentie!$C$12</f>
        <v>21.7128743573914</v>
      </c>
      <c r="T9" s="23" t="n">
        <f aca="false">ModelBasis!$F$15*Retentie!$C$13</f>
        <v>20.8081712591667</v>
      </c>
      <c r="U9" s="23" t="n">
        <f aca="false">ModelBasis!$F$15*Retentie!$C$14</f>
        <v>19.9034681609421</v>
      </c>
      <c r="V9" s="23" t="n">
        <f aca="false">ModelBasis!$F$15*Retentie!$C$15</f>
        <v>19.5415869216522</v>
      </c>
      <c r="W9" s="23" t="n">
        <f aca="false">ModelBasis!$F$15*Retentie!$C$16</f>
        <v>19.1797056823624</v>
      </c>
      <c r="X9" s="23" t="n">
        <f aca="false">ModelBasis!$F$15*Retentie!$C$17</f>
        <v>18.8178244430725</v>
      </c>
      <c r="Y9" s="23" t="n">
        <f aca="false">ModelBasis!$F$15*Retentie!$C$18</f>
        <v>18.4559432037827</v>
      </c>
      <c r="Z9" s="23" t="n">
        <f aca="false">ModelBasis!$F$15*Retentie!$C$19</f>
        <v>18.0940619644928</v>
      </c>
      <c r="AA9" s="23" t="n">
        <f aca="false">ModelBasis!$F$15*Retentie!$C$20</f>
        <v>17.732180725203</v>
      </c>
      <c r="AB9" s="23" t="n">
        <f aca="false">ModelBasis!$F$15*Retentie!$C$21</f>
        <v>17.551240105558</v>
      </c>
      <c r="AC9" s="23" t="n">
        <f aca="false">ModelBasis!$F$15*Retentie!$C$22</f>
        <v>17.3702994859131</v>
      </c>
      <c r="AD9" s="23" t="n">
        <f aca="false">ModelBasis!$F$15*Retentie!$C$23</f>
        <v>17.1893588662682</v>
      </c>
      <c r="AE9" s="23" t="n">
        <f aca="false">ModelBasis!$F$15*Retentie!$C$24</f>
        <v>17.0084182466232</v>
      </c>
      <c r="AF9" s="23" t="n">
        <f aca="false">ModelBasis!$F$15*Retentie!$C$25</f>
        <v>16.8274776269783</v>
      </c>
      <c r="AG9" s="23" t="n">
        <f aca="false">ModelBasis!$F$15*Retentie!$C$26</f>
        <v>16.6465370073334</v>
      </c>
      <c r="AH9" s="23" t="n">
        <f aca="false">ModelBasis!$F$15*Retentie!$C$27</f>
        <v>16.4655963876885</v>
      </c>
      <c r="AI9" s="23" t="n">
        <f aca="false">ModelBasis!$F$15*Retentie!$C$28</f>
        <v>16.2846557680435</v>
      </c>
      <c r="AJ9" s="23" t="n">
        <f aca="false">ModelBasis!$F$15*Retentie!$C$29</f>
        <v>16.1037151483986</v>
      </c>
      <c r="AK9" s="23" t="n">
        <f aca="false">ModelBasis!$F$15*Retentie!$C$30</f>
        <v>15.9227745287537</v>
      </c>
    </row>
    <row r="10" customFormat="false" ht="15" hidden="false" customHeight="false" outlineLevel="0" collapsed="false">
      <c r="A10" s="5" t="n">
        <v>9</v>
      </c>
      <c r="J10" s="23" t="n">
        <f aca="false">ModelBasis!$F$16*Retentie!$C$2</f>
        <v>188.178244430725</v>
      </c>
      <c r="K10" s="23" t="n">
        <f aca="false">ModelBasis!$F$16*Retentie!$C$3</f>
        <v>75.2712977722901</v>
      </c>
      <c r="L10" s="23" t="n">
        <f aca="false">ModelBasis!$F$16*Retentie!$C$4</f>
        <v>56.4534733292175</v>
      </c>
      <c r="M10" s="23" t="n">
        <f aca="false">ModelBasis!$F$16*Retentie!$C$5</f>
        <v>45.162778663374</v>
      </c>
      <c r="N10" s="23" t="n">
        <f aca="false">ModelBasis!$F$16*Retentie!$C$6</f>
        <v>37.635648886145</v>
      </c>
      <c r="O10" s="23" t="n">
        <f aca="false">ModelBasis!$F$16*Retentie!$C$7</f>
        <v>33.8720839975305</v>
      </c>
      <c r="P10" s="23" t="n">
        <f aca="false">ModelBasis!$F$16*Retentie!$C$8</f>
        <v>30.108519108916</v>
      </c>
      <c r="Q10" s="23" t="n">
        <f aca="false">ModelBasis!$F$16*Retentie!$C$9</f>
        <v>28.2267366646088</v>
      </c>
      <c r="R10" s="23" t="n">
        <f aca="false">ModelBasis!$F$16*Retentie!$C$10</f>
        <v>26.3449542203015</v>
      </c>
      <c r="S10" s="23" t="n">
        <f aca="false">ModelBasis!$F$16*Retentie!$C$11</f>
        <v>24.4631717759943</v>
      </c>
      <c r="T10" s="23" t="n">
        <f aca="false">ModelBasis!$F$16*Retentie!$C$12</f>
        <v>22.581389331687</v>
      </c>
      <c r="U10" s="23" t="n">
        <f aca="false">ModelBasis!$F$16*Retentie!$C$13</f>
        <v>21.6404981095334</v>
      </c>
      <c r="V10" s="23" t="n">
        <f aca="false">ModelBasis!$F$16*Retentie!$C$14</f>
        <v>20.6996068873798</v>
      </c>
      <c r="W10" s="23" t="n">
        <f aca="false">ModelBasis!$F$16*Retentie!$C$15</f>
        <v>20.3232503985183</v>
      </c>
      <c r="X10" s="23" t="n">
        <f aca="false">ModelBasis!$F$16*Retentie!$C$16</f>
        <v>19.9468939096569</v>
      </c>
      <c r="Y10" s="23" t="n">
        <f aca="false">ModelBasis!$F$16*Retentie!$C$17</f>
        <v>19.5705374207954</v>
      </c>
      <c r="Z10" s="23" t="n">
        <f aca="false">ModelBasis!$F$16*Retentie!$C$18</f>
        <v>19.194180931934</v>
      </c>
      <c r="AA10" s="23" t="n">
        <f aca="false">ModelBasis!$F$16*Retentie!$C$19</f>
        <v>18.8178244430725</v>
      </c>
      <c r="AB10" s="23" t="n">
        <f aca="false">ModelBasis!$F$16*Retentie!$C$20</f>
        <v>18.4414679542111</v>
      </c>
      <c r="AC10" s="23" t="n">
        <f aca="false">ModelBasis!$F$16*Retentie!$C$21</f>
        <v>18.2532897097803</v>
      </c>
      <c r="AD10" s="23" t="n">
        <f aca="false">ModelBasis!$F$16*Retentie!$C$22</f>
        <v>18.0651114653496</v>
      </c>
      <c r="AE10" s="23" t="n">
        <f aca="false">ModelBasis!$F$16*Retentie!$C$23</f>
        <v>17.8769332209189</v>
      </c>
      <c r="AF10" s="23" t="n">
        <f aca="false">ModelBasis!$F$16*Retentie!$C$24</f>
        <v>17.6887549764882</v>
      </c>
      <c r="AG10" s="23" t="n">
        <f aca="false">ModelBasis!$F$16*Retentie!$C$25</f>
        <v>17.5005767320574</v>
      </c>
      <c r="AH10" s="23" t="n">
        <f aca="false">ModelBasis!$F$16*Retentie!$C$26</f>
        <v>17.3123984876267</v>
      </c>
      <c r="AI10" s="23" t="n">
        <f aca="false">ModelBasis!$F$16*Retentie!$C$27</f>
        <v>17.124220243196</v>
      </c>
      <c r="AJ10" s="23" t="n">
        <f aca="false">ModelBasis!$F$16*Retentie!$C$28</f>
        <v>16.9360419987653</v>
      </c>
      <c r="AK10" s="23" t="n">
        <f aca="false">ModelBasis!$F$16*Retentie!$C$29</f>
        <v>16.7478637543345</v>
      </c>
    </row>
    <row r="11" customFormat="false" ht="15" hidden="false" customHeight="false" outlineLevel="0" collapsed="false">
      <c r="A11" s="5" t="n">
        <v>10</v>
      </c>
      <c r="K11" s="23" t="n">
        <f aca="false">ModelBasis!$F$17*Retentie!$C$2</f>
        <v>195.705374207954</v>
      </c>
      <c r="L11" s="23" t="n">
        <f aca="false">ModelBasis!$F$17*Retentie!$C$3</f>
        <v>78.2821496831817</v>
      </c>
      <c r="M11" s="23" t="n">
        <f aca="false">ModelBasis!$F$17*Retentie!$C$4</f>
        <v>58.7116122623863</v>
      </c>
      <c r="N11" s="23" t="n">
        <f aca="false">ModelBasis!$F$17*Retentie!$C$5</f>
        <v>46.969289809909</v>
      </c>
      <c r="O11" s="23" t="n">
        <f aca="false">ModelBasis!$F$17*Retentie!$C$6</f>
        <v>39.1410748415908</v>
      </c>
      <c r="P11" s="23" t="n">
        <f aca="false">ModelBasis!$F$17*Retentie!$C$7</f>
        <v>35.2269673574318</v>
      </c>
      <c r="Q11" s="23" t="n">
        <f aca="false">ModelBasis!$F$17*Retentie!$C$8</f>
        <v>31.3128598732727</v>
      </c>
      <c r="R11" s="23" t="n">
        <f aca="false">ModelBasis!$F$17*Retentie!$C$9</f>
        <v>29.3558061311931</v>
      </c>
      <c r="S11" s="23" t="n">
        <f aca="false">ModelBasis!$F$17*Retentie!$C$10</f>
        <v>27.3987523891136</v>
      </c>
      <c r="T11" s="23" t="n">
        <f aca="false">ModelBasis!$F$17*Retentie!$C$11</f>
        <v>25.441698647034</v>
      </c>
      <c r="U11" s="23" t="n">
        <f aca="false">ModelBasis!$F$17*Retentie!$C$12</f>
        <v>23.4846449049545</v>
      </c>
      <c r="V11" s="23" t="n">
        <f aca="false">ModelBasis!$F$17*Retentie!$C$13</f>
        <v>22.5061180339147</v>
      </c>
      <c r="W11" s="23" t="n">
        <f aca="false">ModelBasis!$F$17*Retentie!$C$14</f>
        <v>21.527591162875</v>
      </c>
      <c r="X11" s="23" t="n">
        <f aca="false">ModelBasis!$F$17*Retentie!$C$15</f>
        <v>21.1361804144591</v>
      </c>
      <c r="Y11" s="23" t="n">
        <f aca="false">ModelBasis!$F$17*Retentie!$C$16</f>
        <v>20.7447696660431</v>
      </c>
      <c r="Z11" s="23" t="n">
        <f aca="false">ModelBasis!$F$17*Retentie!$C$17</f>
        <v>20.3533589176272</v>
      </c>
      <c r="AA11" s="23" t="n">
        <f aca="false">ModelBasis!$F$17*Retentie!$C$18</f>
        <v>19.9619481692113</v>
      </c>
      <c r="AB11" s="23" t="n">
        <f aca="false">ModelBasis!$F$17*Retentie!$C$19</f>
        <v>19.5705374207954</v>
      </c>
      <c r="AC11" s="23" t="n">
        <f aca="false">ModelBasis!$F$17*Retentie!$C$20</f>
        <v>19.1791266723795</v>
      </c>
      <c r="AD11" s="23" t="n">
        <f aca="false">ModelBasis!$F$17*Retentie!$C$21</f>
        <v>18.9834212981716</v>
      </c>
      <c r="AE11" s="23" t="n">
        <f aca="false">ModelBasis!$F$17*Retentie!$C$22</f>
        <v>18.7877159239636</v>
      </c>
      <c r="AF11" s="23" t="n">
        <f aca="false">ModelBasis!$F$17*Retentie!$C$23</f>
        <v>18.5920105497556</v>
      </c>
      <c r="AG11" s="23" t="n">
        <f aca="false">ModelBasis!$F$17*Retentie!$C$24</f>
        <v>18.3963051755477</v>
      </c>
      <c r="AH11" s="23" t="n">
        <f aca="false">ModelBasis!$F$17*Retentie!$C$25</f>
        <v>18.2005998013397</v>
      </c>
      <c r="AI11" s="23" t="n">
        <f aca="false">ModelBasis!$F$17*Retentie!$C$26</f>
        <v>18.0048944271318</v>
      </c>
      <c r="AJ11" s="23" t="n">
        <f aca="false">ModelBasis!$F$17*Retentie!$C$27</f>
        <v>17.8091890529238</v>
      </c>
      <c r="AK11" s="23" t="n">
        <f aca="false">ModelBasis!$F$17*Retentie!$C$28</f>
        <v>17.6134836787159</v>
      </c>
    </row>
    <row r="12" customFormat="false" ht="15" hidden="false" customHeight="false" outlineLevel="0" collapsed="false">
      <c r="A12" s="5" t="n">
        <v>11</v>
      </c>
      <c r="L12" s="23" t="n">
        <f aca="false">ModelBasis!$F$18*Retentie!$C$2</f>
        <v>203.533589176272</v>
      </c>
      <c r="M12" s="23" t="n">
        <f aca="false">ModelBasis!$F$18*Retentie!$C$3</f>
        <v>81.413435670509</v>
      </c>
      <c r="N12" s="23" t="n">
        <f aca="false">ModelBasis!$F$18*Retentie!$C$4</f>
        <v>61.0600767528817</v>
      </c>
      <c r="O12" s="23" t="n">
        <f aca="false">ModelBasis!$F$18*Retentie!$C$5</f>
        <v>48.8480614023054</v>
      </c>
      <c r="P12" s="23" t="n">
        <f aca="false">ModelBasis!$F$18*Retentie!$C$6</f>
        <v>40.7067178352545</v>
      </c>
      <c r="Q12" s="23" t="n">
        <f aca="false">ModelBasis!$F$18*Retentie!$C$7</f>
        <v>36.636046051729</v>
      </c>
      <c r="R12" s="23" t="n">
        <f aca="false">ModelBasis!$F$18*Retentie!$C$8</f>
        <v>32.5653742682036</v>
      </c>
      <c r="S12" s="23" t="n">
        <f aca="false">ModelBasis!$F$18*Retentie!$C$9</f>
        <v>30.5300383764409</v>
      </c>
      <c r="T12" s="23" t="n">
        <f aca="false">ModelBasis!$F$18*Retentie!$C$10</f>
        <v>28.4947024846781</v>
      </c>
      <c r="U12" s="23" t="n">
        <f aca="false">ModelBasis!$F$18*Retentie!$C$11</f>
        <v>26.4593665929154</v>
      </c>
      <c r="V12" s="23" t="n">
        <f aca="false">ModelBasis!$F$18*Retentie!$C$12</f>
        <v>24.4240307011527</v>
      </c>
      <c r="W12" s="23" t="n">
        <f aca="false">ModelBasis!$F$18*Retentie!$C$13</f>
        <v>23.4063627552713</v>
      </c>
      <c r="X12" s="23" t="n">
        <f aca="false">ModelBasis!$F$18*Retentie!$C$14</f>
        <v>22.38869480939</v>
      </c>
      <c r="Y12" s="23" t="n">
        <f aca="false">ModelBasis!$F$18*Retentie!$C$15</f>
        <v>21.9816276310374</v>
      </c>
      <c r="Z12" s="23" t="n">
        <f aca="false">ModelBasis!$F$18*Retentie!$C$16</f>
        <v>21.5745604526849</v>
      </c>
      <c r="AA12" s="23" t="n">
        <f aca="false">ModelBasis!$F$18*Retentie!$C$17</f>
        <v>21.1674932743323</v>
      </c>
      <c r="AB12" s="23" t="n">
        <f aca="false">ModelBasis!$F$18*Retentie!$C$18</f>
        <v>20.7604260959798</v>
      </c>
      <c r="AC12" s="23" t="n">
        <f aca="false">ModelBasis!$F$18*Retentie!$C$19</f>
        <v>20.3533589176272</v>
      </c>
      <c r="AD12" s="23" t="n">
        <f aca="false">ModelBasis!$F$18*Retentie!$C$20</f>
        <v>19.9462917392747</v>
      </c>
      <c r="AE12" s="23" t="n">
        <f aca="false">ModelBasis!$F$18*Retentie!$C$21</f>
        <v>19.7427581500984</v>
      </c>
      <c r="AF12" s="23" t="n">
        <f aca="false">ModelBasis!$F$18*Retentie!$C$22</f>
        <v>19.5392245609222</v>
      </c>
      <c r="AG12" s="23" t="n">
        <f aca="false">ModelBasis!$F$18*Retentie!$C$23</f>
        <v>19.3356909717459</v>
      </c>
      <c r="AH12" s="23" t="n">
        <f aca="false">ModelBasis!$F$18*Retentie!$C$24</f>
        <v>19.1321573825696</v>
      </c>
      <c r="AI12" s="23" t="n">
        <f aca="false">ModelBasis!$F$18*Retentie!$C$25</f>
        <v>18.9286237933933</v>
      </c>
      <c r="AJ12" s="23" t="n">
        <f aca="false">ModelBasis!$F$18*Retentie!$C$26</f>
        <v>18.7250902042171</v>
      </c>
      <c r="AK12" s="23" t="n">
        <f aca="false">ModelBasis!$F$18*Retentie!$C$27</f>
        <v>18.5215566150408</v>
      </c>
    </row>
    <row r="13" customFormat="false" ht="15" hidden="false" customHeight="false" outlineLevel="0" collapsed="false">
      <c r="A13" s="5" t="n">
        <v>12</v>
      </c>
      <c r="M13" s="23" t="n">
        <f aca="false">ModelBasis!$F$19*Retentie!$C$2</f>
        <v>211.674932743323</v>
      </c>
      <c r="N13" s="23" t="n">
        <f aca="false">ModelBasis!$F$19*Retentie!$C$3</f>
        <v>84.6699730973293</v>
      </c>
      <c r="O13" s="23" t="n">
        <f aca="false">ModelBasis!$F$19*Retentie!$C$4</f>
        <v>63.502479822997</v>
      </c>
      <c r="P13" s="23" t="n">
        <f aca="false">ModelBasis!$F$19*Retentie!$C$5</f>
        <v>50.8019838583976</v>
      </c>
      <c r="Q13" s="23" t="n">
        <f aca="false">ModelBasis!$F$19*Retentie!$C$6</f>
        <v>42.3349865486647</v>
      </c>
      <c r="R13" s="23" t="n">
        <f aca="false">ModelBasis!$F$19*Retentie!$C$7</f>
        <v>38.1014878937982</v>
      </c>
      <c r="S13" s="23" t="n">
        <f aca="false">ModelBasis!$F$19*Retentie!$C$8</f>
        <v>33.8679892389317</v>
      </c>
      <c r="T13" s="23" t="n">
        <f aca="false">ModelBasis!$F$19*Retentie!$C$9</f>
        <v>31.7512399114985</v>
      </c>
      <c r="U13" s="23" t="n">
        <f aca="false">ModelBasis!$F$19*Retentie!$C$10</f>
        <v>29.6344905840653</v>
      </c>
      <c r="V13" s="23" t="n">
        <f aca="false">ModelBasis!$F$19*Retentie!$C$11</f>
        <v>27.517741256632</v>
      </c>
      <c r="W13" s="23" t="n">
        <f aca="false">ModelBasis!$F$19*Retentie!$C$12</f>
        <v>25.4009919291988</v>
      </c>
      <c r="X13" s="23" t="n">
        <f aca="false">ModelBasis!$F$19*Retentie!$C$13</f>
        <v>24.3426172654822</v>
      </c>
      <c r="Y13" s="23" t="n">
        <f aca="false">ModelBasis!$F$19*Retentie!$C$14</f>
        <v>23.2842426017656</v>
      </c>
      <c r="Z13" s="23" t="n">
        <f aca="false">ModelBasis!$F$19*Retentie!$C$15</f>
        <v>22.8608927362789</v>
      </c>
      <c r="AA13" s="23" t="n">
        <f aca="false">ModelBasis!$F$19*Retentie!$C$16</f>
        <v>22.4375428707923</v>
      </c>
      <c r="AB13" s="23" t="n">
        <f aca="false">ModelBasis!$F$19*Retentie!$C$17</f>
        <v>22.0141930053056</v>
      </c>
      <c r="AC13" s="23" t="n">
        <f aca="false">ModelBasis!$F$19*Retentie!$C$18</f>
        <v>21.590843139819</v>
      </c>
      <c r="AD13" s="23" t="n">
        <f aca="false">ModelBasis!$F$19*Retentie!$C$19</f>
        <v>21.1674932743323</v>
      </c>
      <c r="AE13" s="23" t="n">
        <f aca="false">ModelBasis!$F$19*Retentie!$C$20</f>
        <v>20.7441434088457</v>
      </c>
      <c r="AF13" s="23" t="n">
        <f aca="false">ModelBasis!$F$19*Retentie!$C$21</f>
        <v>20.5324684761024</v>
      </c>
      <c r="AG13" s="23" t="n">
        <f aca="false">ModelBasis!$F$19*Retentie!$C$22</f>
        <v>20.320793543359</v>
      </c>
      <c r="AH13" s="23" t="n">
        <f aca="false">ModelBasis!$F$19*Retentie!$C$23</f>
        <v>20.1091186106157</v>
      </c>
      <c r="AI13" s="23" t="n">
        <f aca="false">ModelBasis!$F$19*Retentie!$C$24</f>
        <v>19.8974436778724</v>
      </c>
      <c r="AJ13" s="23" t="n">
        <f aca="false">ModelBasis!$F$19*Retentie!$C$25</f>
        <v>19.6857687451291</v>
      </c>
      <c r="AK13" s="23" t="n">
        <f aca="false">ModelBasis!$F$19*Retentie!$C$26</f>
        <v>19.4740938123857</v>
      </c>
    </row>
    <row r="14" customFormat="false" ht="15" hidden="false" customHeight="false" outlineLevel="0" collapsed="false">
      <c r="A14" s="5" t="n">
        <v>13</v>
      </c>
      <c r="N14" s="23" t="n">
        <f aca="false">ModelBasis!$F$20*Retentie!$C$2</f>
        <v>550.354825132641</v>
      </c>
      <c r="O14" s="23" t="n">
        <f aca="false">ModelBasis!$F$20*Retentie!$C$3</f>
        <v>220.141930053056</v>
      </c>
      <c r="P14" s="23" t="n">
        <f aca="false">ModelBasis!$F$20*Retentie!$C$4</f>
        <v>165.106447539792</v>
      </c>
      <c r="Q14" s="23" t="n">
        <f aca="false">ModelBasis!$F$20*Retentie!$C$5</f>
        <v>132.085158031834</v>
      </c>
      <c r="R14" s="23" t="n">
        <f aca="false">ModelBasis!$F$20*Retentie!$C$6</f>
        <v>110.070965026528</v>
      </c>
      <c r="S14" s="23" t="n">
        <f aca="false">ModelBasis!$F$20*Retentie!$C$7</f>
        <v>99.0638685238753</v>
      </c>
      <c r="T14" s="23" t="n">
        <f aca="false">ModelBasis!$F$20*Retentie!$C$8</f>
        <v>88.0567720212225</v>
      </c>
      <c r="U14" s="23" t="n">
        <f aca="false">ModelBasis!$F$20*Retentie!$C$9</f>
        <v>82.5532237698961</v>
      </c>
      <c r="V14" s="23" t="n">
        <f aca="false">ModelBasis!$F$20*Retentie!$C$10</f>
        <v>77.0496755185697</v>
      </c>
      <c r="W14" s="23" t="n">
        <f aca="false">ModelBasis!$F$20*Retentie!$C$11</f>
        <v>71.5461272672433</v>
      </c>
      <c r="X14" s="23" t="n">
        <f aca="false">ModelBasis!$F$20*Retentie!$C$12</f>
        <v>66.0425790159169</v>
      </c>
      <c r="Y14" s="23" t="n">
        <f aca="false">ModelBasis!$F$20*Retentie!$C$13</f>
        <v>63.2908048902537</v>
      </c>
      <c r="Z14" s="23" t="n">
        <f aca="false">ModelBasis!$F$20*Retentie!$C$14</f>
        <v>60.5390307645905</v>
      </c>
      <c r="AA14" s="23" t="n">
        <f aca="false">ModelBasis!$F$20*Retentie!$C$15</f>
        <v>59.4383211143252</v>
      </c>
      <c r="AB14" s="23" t="n">
        <f aca="false">ModelBasis!$F$20*Retentie!$C$16</f>
        <v>58.3376114640599</v>
      </c>
      <c r="AC14" s="23" t="n">
        <f aca="false">ModelBasis!$F$20*Retentie!$C$17</f>
        <v>57.2369018137946</v>
      </c>
      <c r="AD14" s="23" t="n">
        <f aca="false">ModelBasis!$F$20*Retentie!$C$18</f>
        <v>56.1361921635293</v>
      </c>
      <c r="AE14" s="23" t="n">
        <f aca="false">ModelBasis!$F$20*Retentie!$C$19</f>
        <v>55.0354825132641</v>
      </c>
      <c r="AF14" s="23" t="n">
        <f aca="false">ModelBasis!$F$20*Retentie!$C$20</f>
        <v>53.9347728629988</v>
      </c>
      <c r="AG14" s="23" t="n">
        <f aca="false">ModelBasis!$F$20*Retentie!$C$21</f>
        <v>53.3844180378661</v>
      </c>
      <c r="AH14" s="23" t="n">
        <f aca="false">ModelBasis!$F$20*Retentie!$C$22</f>
        <v>52.8340632127335</v>
      </c>
      <c r="AI14" s="23" t="n">
        <f aca="false">ModelBasis!$F$20*Retentie!$C$23</f>
        <v>52.2837083876008</v>
      </c>
      <c r="AJ14" s="23" t="n">
        <f aca="false">ModelBasis!$F$20*Retentie!$C$24</f>
        <v>51.7333535624682</v>
      </c>
      <c r="AK14" s="23" t="n">
        <f aca="false">ModelBasis!$F$20*Retentie!$C$25</f>
        <v>51.1829987373356</v>
      </c>
    </row>
    <row r="15" customFormat="false" ht="15" hidden="false" customHeight="false" outlineLevel="0" collapsed="false">
      <c r="A15" s="5" t="n">
        <v>14</v>
      </c>
      <c r="O15" s="23" t="n">
        <f aca="false">ModelBasis!$F$21*Retentie!$C$2</f>
        <v>228.947607255178</v>
      </c>
      <c r="P15" s="23" t="n">
        <f aca="false">ModelBasis!$F$21*Retentie!$C$3</f>
        <v>91.5790429020714</v>
      </c>
      <c r="Q15" s="23" t="n">
        <f aca="false">ModelBasis!$F$21*Retentie!$C$4</f>
        <v>68.6842821765535</v>
      </c>
      <c r="R15" s="23" t="n">
        <f aca="false">ModelBasis!$F$21*Retentie!$C$5</f>
        <v>54.9474257412428</v>
      </c>
      <c r="S15" s="23" t="n">
        <f aca="false">ModelBasis!$F$21*Retentie!$C$6</f>
        <v>45.7895214510357</v>
      </c>
      <c r="T15" s="23" t="n">
        <f aca="false">ModelBasis!$F$21*Retentie!$C$7</f>
        <v>41.2105693059321</v>
      </c>
      <c r="U15" s="23" t="n">
        <f aca="false">ModelBasis!$F$21*Retentie!$C$8</f>
        <v>36.6316171608286</v>
      </c>
      <c r="V15" s="23" t="n">
        <f aca="false">ModelBasis!$F$21*Retentie!$C$9</f>
        <v>34.3421410882768</v>
      </c>
      <c r="W15" s="23" t="n">
        <f aca="false">ModelBasis!$F$21*Retentie!$C$10</f>
        <v>32.052665015725</v>
      </c>
      <c r="X15" s="23" t="n">
        <f aca="false">ModelBasis!$F$21*Retentie!$C$11</f>
        <v>29.7631889431732</v>
      </c>
      <c r="Y15" s="23" t="n">
        <f aca="false">ModelBasis!$F$21*Retentie!$C$12</f>
        <v>27.4737128706214</v>
      </c>
      <c r="Z15" s="23" t="n">
        <f aca="false">ModelBasis!$F$21*Retentie!$C$13</f>
        <v>26.3289748343455</v>
      </c>
      <c r="AA15" s="23" t="n">
        <f aca="false">ModelBasis!$F$21*Retentie!$C$14</f>
        <v>25.1842367980696</v>
      </c>
      <c r="AB15" s="23" t="n">
        <f aca="false">ModelBasis!$F$21*Retentie!$C$15</f>
        <v>24.7263415835593</v>
      </c>
      <c r="AC15" s="23" t="n">
        <f aca="false">ModelBasis!$F$21*Retentie!$C$16</f>
        <v>24.2684463690489</v>
      </c>
      <c r="AD15" s="23" t="n">
        <f aca="false">ModelBasis!$F$21*Retentie!$C$17</f>
        <v>23.8105511545386</v>
      </c>
      <c r="AE15" s="23" t="n">
        <f aca="false">ModelBasis!$F$21*Retentie!$C$18</f>
        <v>23.3526559400282</v>
      </c>
      <c r="AF15" s="23" t="n">
        <f aca="false">ModelBasis!$F$21*Retentie!$C$19</f>
        <v>22.8947607255179</v>
      </c>
      <c r="AG15" s="23" t="n">
        <f aca="false">ModelBasis!$F$21*Retentie!$C$20</f>
        <v>22.4368655110075</v>
      </c>
      <c r="AH15" s="23" t="n">
        <f aca="false">ModelBasis!$F$21*Retentie!$C$21</f>
        <v>22.2079179037523</v>
      </c>
      <c r="AI15" s="23" t="n">
        <f aca="false">ModelBasis!$F$21*Retentie!$C$22</f>
        <v>21.9789702964971</v>
      </c>
      <c r="AJ15" s="23" t="n">
        <f aca="false">ModelBasis!$F$21*Retentie!$C$23</f>
        <v>21.750022689242</v>
      </c>
      <c r="AK15" s="23" t="n">
        <f aca="false">ModelBasis!$F$21*Retentie!$C$24</f>
        <v>21.5210750819868</v>
      </c>
    </row>
    <row r="16" customFormat="false" ht="15" hidden="false" customHeight="false" outlineLevel="0" collapsed="false">
      <c r="A16" s="5" t="n">
        <v>15</v>
      </c>
      <c r="P16" s="23" t="n">
        <f aca="false">ModelBasis!$F$22*Retentie!$C$2</f>
        <v>238.105511545386</v>
      </c>
      <c r="Q16" s="23" t="n">
        <f aca="false">ModelBasis!$F$22*Retentie!$C$3</f>
        <v>95.2422046181543</v>
      </c>
      <c r="R16" s="23" t="n">
        <f aca="false">ModelBasis!$F$22*Retentie!$C$4</f>
        <v>71.4316534636157</v>
      </c>
      <c r="S16" s="23" t="n">
        <f aca="false">ModelBasis!$F$22*Retentie!$C$5</f>
        <v>57.1453227708925</v>
      </c>
      <c r="T16" s="23" t="n">
        <f aca="false">ModelBasis!$F$22*Retentie!$C$6</f>
        <v>47.6211023090771</v>
      </c>
      <c r="U16" s="23" t="n">
        <f aca="false">ModelBasis!$F$22*Retentie!$C$7</f>
        <v>42.8589920781694</v>
      </c>
      <c r="V16" s="23" t="n">
        <f aca="false">ModelBasis!$F$22*Retentie!$C$8</f>
        <v>38.0968818472617</v>
      </c>
      <c r="W16" s="23" t="n">
        <f aca="false">ModelBasis!$F$22*Retentie!$C$9</f>
        <v>35.7158267318078</v>
      </c>
      <c r="X16" s="23" t="n">
        <f aca="false">ModelBasis!$F$22*Retentie!$C$10</f>
        <v>33.334771616354</v>
      </c>
      <c r="Y16" s="23" t="n">
        <f aca="false">ModelBasis!$F$22*Retentie!$C$11</f>
        <v>30.9537165009001</v>
      </c>
      <c r="Z16" s="23" t="n">
        <f aca="false">ModelBasis!$F$22*Retentie!$C$12</f>
        <v>28.5726613854463</v>
      </c>
      <c r="AA16" s="23" t="n">
        <f aca="false">ModelBasis!$F$22*Retentie!$C$13</f>
        <v>27.3821338277193</v>
      </c>
      <c r="AB16" s="23" t="n">
        <f aca="false">ModelBasis!$F$22*Retentie!$C$14</f>
        <v>26.1916062699924</v>
      </c>
      <c r="AC16" s="23" t="n">
        <f aca="false">ModelBasis!$F$22*Retentie!$C$15</f>
        <v>25.7153952469016</v>
      </c>
      <c r="AD16" s="23" t="n">
        <f aca="false">ModelBasis!$F$22*Retentie!$C$16</f>
        <v>25.2391842238109</v>
      </c>
      <c r="AE16" s="23" t="n">
        <f aca="false">ModelBasis!$F$22*Retentie!$C$17</f>
        <v>24.7629732007201</v>
      </c>
      <c r="AF16" s="23" t="n">
        <f aca="false">ModelBasis!$F$22*Retentie!$C$18</f>
        <v>24.2867621776293</v>
      </c>
      <c r="AG16" s="23" t="n">
        <f aca="false">ModelBasis!$F$22*Retentie!$C$19</f>
        <v>23.8105511545386</v>
      </c>
      <c r="AH16" s="23" t="n">
        <f aca="false">ModelBasis!$F$22*Retentie!$C$20</f>
        <v>23.3343401314478</v>
      </c>
      <c r="AI16" s="23" t="n">
        <f aca="false">ModelBasis!$F$22*Retentie!$C$21</f>
        <v>23.0962346199024</v>
      </c>
      <c r="AJ16" s="23" t="n">
        <f aca="false">ModelBasis!$F$22*Retentie!$C$22</f>
        <v>22.858129108357</v>
      </c>
      <c r="AK16" s="23" t="n">
        <f aca="false">ModelBasis!$F$22*Retentie!$C$23</f>
        <v>22.6200235968116</v>
      </c>
    </row>
    <row r="17" customFormat="false" ht="15" hidden="false" customHeight="false" outlineLevel="0" collapsed="false">
      <c r="A17" s="5" t="n">
        <v>16</v>
      </c>
      <c r="Q17" s="23" t="n">
        <f aca="false">ModelBasis!$F$23*Retentie!$C$2</f>
        <v>247.629732007201</v>
      </c>
      <c r="R17" s="23" t="n">
        <f aca="false">ModelBasis!$F$23*Retentie!$C$3</f>
        <v>99.0518928028804</v>
      </c>
      <c r="S17" s="23" t="n">
        <f aca="false">ModelBasis!$F$23*Retentie!$C$4</f>
        <v>74.2889196021603</v>
      </c>
      <c r="T17" s="23" t="n">
        <f aca="false">ModelBasis!$F$23*Retentie!$C$5</f>
        <v>59.4311356817283</v>
      </c>
      <c r="U17" s="23" t="n">
        <f aca="false">ModelBasis!$F$23*Retentie!$C$6</f>
        <v>49.5259464014402</v>
      </c>
      <c r="V17" s="23" t="n">
        <f aca="false">ModelBasis!$F$23*Retentie!$C$7</f>
        <v>44.5733517612962</v>
      </c>
      <c r="W17" s="23" t="n">
        <f aca="false">ModelBasis!$F$23*Retentie!$C$8</f>
        <v>39.6207571211522</v>
      </c>
      <c r="X17" s="23" t="n">
        <f aca="false">ModelBasis!$F$23*Retentie!$C$9</f>
        <v>37.1444598010802</v>
      </c>
      <c r="Y17" s="23" t="n">
        <f aca="false">ModelBasis!$F$23*Retentie!$C$10</f>
        <v>34.6681624810082</v>
      </c>
      <c r="Z17" s="23" t="n">
        <f aca="false">ModelBasis!$F$23*Retentie!$C$11</f>
        <v>32.1918651609361</v>
      </c>
      <c r="AA17" s="23" t="n">
        <f aca="false">ModelBasis!$F$23*Retentie!$C$12</f>
        <v>29.7155678408641</v>
      </c>
      <c r="AB17" s="23" t="n">
        <f aca="false">ModelBasis!$F$23*Retentie!$C$13</f>
        <v>28.4774191808281</v>
      </c>
      <c r="AC17" s="23" t="n">
        <f aca="false">ModelBasis!$F$23*Retentie!$C$14</f>
        <v>27.2392705207921</v>
      </c>
      <c r="AD17" s="23" t="n">
        <f aca="false">ModelBasis!$F$23*Retentie!$C$15</f>
        <v>26.7440110567777</v>
      </c>
      <c r="AE17" s="23" t="n">
        <f aca="false">ModelBasis!$F$23*Retentie!$C$16</f>
        <v>26.2487515927633</v>
      </c>
      <c r="AF17" s="23" t="n">
        <f aca="false">ModelBasis!$F$23*Retentie!$C$17</f>
        <v>25.7534921287489</v>
      </c>
      <c r="AG17" s="23" t="n">
        <f aca="false">ModelBasis!$F$23*Retentie!$C$18</f>
        <v>25.2582326647345</v>
      </c>
      <c r="AH17" s="23" t="n">
        <f aca="false">ModelBasis!$F$23*Retentie!$C$19</f>
        <v>24.7629732007201</v>
      </c>
      <c r="AI17" s="23" t="n">
        <f aca="false">ModelBasis!$F$23*Retentie!$C$20</f>
        <v>24.2677137367057</v>
      </c>
      <c r="AJ17" s="23" t="n">
        <f aca="false">ModelBasis!$F$23*Retentie!$C$21</f>
        <v>24.0200840046985</v>
      </c>
      <c r="AK17" s="23" t="n">
        <f aca="false">ModelBasis!$F$23*Retentie!$C$22</f>
        <v>23.7724542726913</v>
      </c>
    </row>
    <row r="18" customFormat="false" ht="15" hidden="false" customHeight="false" outlineLevel="0" collapsed="false">
      <c r="A18" s="5" t="n">
        <v>17</v>
      </c>
      <c r="R18" s="23" t="n">
        <f aca="false">ModelBasis!$F$24*Retentie!$C$2</f>
        <v>257.534921287489</v>
      </c>
      <c r="S18" s="23" t="n">
        <f aca="false">ModelBasis!$F$24*Retentie!$C$3</f>
        <v>103.013968514996</v>
      </c>
      <c r="T18" s="23" t="n">
        <f aca="false">ModelBasis!$F$24*Retentie!$C$4</f>
        <v>77.2604763862467</v>
      </c>
      <c r="U18" s="23" t="n">
        <f aca="false">ModelBasis!$F$24*Retentie!$C$5</f>
        <v>61.8083811089974</v>
      </c>
      <c r="V18" s="23" t="n">
        <f aca="false">ModelBasis!$F$24*Retentie!$C$6</f>
        <v>51.5069842574978</v>
      </c>
      <c r="W18" s="23" t="n">
        <f aca="false">ModelBasis!$F$24*Retentie!$C$7</f>
        <v>46.356285831748</v>
      </c>
      <c r="X18" s="23" t="n">
        <f aca="false">ModelBasis!$F$24*Retentie!$C$8</f>
        <v>41.2055874059983</v>
      </c>
      <c r="Y18" s="23" t="n">
        <f aca="false">ModelBasis!$F$24*Retentie!$C$9</f>
        <v>38.6302381931234</v>
      </c>
      <c r="Z18" s="23" t="n">
        <f aca="false">ModelBasis!$F$24*Retentie!$C$10</f>
        <v>36.0548889802485</v>
      </c>
      <c r="AA18" s="23" t="n">
        <f aca="false">ModelBasis!$F$24*Retentie!$C$11</f>
        <v>33.4795397673736</v>
      </c>
      <c r="AB18" s="23" t="n">
        <f aca="false">ModelBasis!$F$24*Retentie!$C$12</f>
        <v>30.9041905544987</v>
      </c>
      <c r="AC18" s="23" t="n">
        <f aca="false">ModelBasis!$F$24*Retentie!$C$13</f>
        <v>29.6165159480613</v>
      </c>
      <c r="AD18" s="23" t="n">
        <f aca="false">ModelBasis!$F$24*Retentie!$C$14</f>
        <v>28.3288413416238</v>
      </c>
      <c r="AE18" s="23" t="n">
        <f aca="false">ModelBasis!$F$24*Retentie!$C$15</f>
        <v>27.8137714990488</v>
      </c>
      <c r="AF18" s="23" t="n">
        <f aca="false">ModelBasis!$F$24*Retentie!$C$16</f>
        <v>27.2987016564738</v>
      </c>
      <c r="AG18" s="23" t="n">
        <f aca="false">ModelBasis!$F$24*Retentie!$C$17</f>
        <v>26.7836318138989</v>
      </c>
      <c r="AH18" s="23" t="n">
        <f aca="false">ModelBasis!$F$24*Retentie!$C$18</f>
        <v>26.2685619713239</v>
      </c>
      <c r="AI18" s="23" t="n">
        <f aca="false">ModelBasis!$F$24*Retentie!$C$19</f>
        <v>25.7534921287489</v>
      </c>
      <c r="AJ18" s="23" t="n">
        <f aca="false">ModelBasis!$F$24*Retentie!$C$20</f>
        <v>25.2384222861739</v>
      </c>
      <c r="AK18" s="23" t="n">
        <f aca="false">ModelBasis!$F$24*Retentie!$C$21</f>
        <v>24.9808873648864</v>
      </c>
    </row>
    <row r="19" customFormat="false" ht="15" hidden="false" customHeight="false" outlineLevel="0" collapsed="false">
      <c r="A19" s="5" t="n">
        <v>18</v>
      </c>
      <c r="S19" s="23" t="n">
        <f aca="false">ModelBasis!$F$25*Retentie!$C$2</f>
        <v>432.836318138989</v>
      </c>
      <c r="T19" s="23" t="n">
        <f aca="false">ModelBasis!$F$25*Retentie!$C$3</f>
        <v>173.134527255595</v>
      </c>
      <c r="U19" s="23" t="n">
        <f aca="false">ModelBasis!$F$25*Retentie!$C$4</f>
        <v>129.850895441697</v>
      </c>
      <c r="V19" s="23" t="n">
        <f aca="false">ModelBasis!$F$25*Retentie!$C$5</f>
        <v>103.880716353357</v>
      </c>
      <c r="W19" s="23" t="n">
        <f aca="false">ModelBasis!$F$25*Retentie!$C$6</f>
        <v>86.5672636277977</v>
      </c>
      <c r="X19" s="23" t="n">
        <f aca="false">ModelBasis!$F$25*Retentie!$C$7</f>
        <v>77.910537265018</v>
      </c>
      <c r="Y19" s="23" t="n">
        <f aca="false">ModelBasis!$F$25*Retentie!$C$8</f>
        <v>69.2538109022382</v>
      </c>
      <c r="Z19" s="23" t="n">
        <f aca="false">ModelBasis!$F$25*Retentie!$C$9</f>
        <v>64.9254477208483</v>
      </c>
      <c r="AA19" s="23" t="n">
        <f aca="false">ModelBasis!$F$25*Retentie!$C$10</f>
        <v>60.5970845394584</v>
      </c>
      <c r="AB19" s="23" t="n">
        <f aca="false">ModelBasis!$F$25*Retentie!$C$11</f>
        <v>56.2687213580685</v>
      </c>
      <c r="AC19" s="23" t="n">
        <f aca="false">ModelBasis!$F$25*Retentie!$C$12</f>
        <v>51.9403581766786</v>
      </c>
      <c r="AD19" s="23" t="n">
        <f aca="false">ModelBasis!$F$25*Retentie!$C$13</f>
        <v>49.7761765859837</v>
      </c>
      <c r="AE19" s="23" t="n">
        <f aca="false">ModelBasis!$F$25*Retentie!$C$14</f>
        <v>47.6119949952888</v>
      </c>
      <c r="AF19" s="23" t="n">
        <f aca="false">ModelBasis!$F$25*Retentie!$C$15</f>
        <v>46.7463223590108</v>
      </c>
      <c r="AG19" s="23" t="n">
        <f aca="false">ModelBasis!$F$25*Retentie!$C$16</f>
        <v>45.8806497227328</v>
      </c>
      <c r="AH19" s="23" t="n">
        <f aca="false">ModelBasis!$F$25*Retentie!$C$17</f>
        <v>45.0149770864548</v>
      </c>
      <c r="AI19" s="23" t="n">
        <f aca="false">ModelBasis!$F$25*Retentie!$C$18</f>
        <v>44.1493044501768</v>
      </c>
      <c r="AJ19" s="23" t="n">
        <f aca="false">ModelBasis!$F$25*Retentie!$C$19</f>
        <v>43.2836318138989</v>
      </c>
      <c r="AK19" s="23" t="n">
        <f aca="false">ModelBasis!$F$25*Retentie!$C$20</f>
        <v>42.4179591776209</v>
      </c>
    </row>
    <row r="20" customFormat="false" ht="15" hidden="false" customHeight="false" outlineLevel="0" collapsed="false">
      <c r="A20" s="5" t="n">
        <v>19</v>
      </c>
      <c r="T20" s="23" t="n">
        <f aca="false">ModelBasis!$F$26*Retentie!$C$2</f>
        <v>450.149770864548</v>
      </c>
      <c r="U20" s="23" t="n">
        <f aca="false">ModelBasis!$F$26*Retentie!$C$3</f>
        <v>180.059908345819</v>
      </c>
      <c r="V20" s="23" t="n">
        <f aca="false">ModelBasis!$F$26*Retentie!$C$4</f>
        <v>135.044931259364</v>
      </c>
      <c r="W20" s="23" t="n">
        <f aca="false">ModelBasis!$F$26*Retentie!$C$5</f>
        <v>108.035945007492</v>
      </c>
      <c r="X20" s="23" t="n">
        <f aca="false">ModelBasis!$F$26*Retentie!$C$6</f>
        <v>90.0299541729096</v>
      </c>
      <c r="Y20" s="23" t="n">
        <f aca="false">ModelBasis!$F$26*Retentie!$C$7</f>
        <v>81.0269587556187</v>
      </c>
      <c r="Z20" s="23" t="n">
        <f aca="false">ModelBasis!$F$26*Retentie!$C$8</f>
        <v>72.0239633383277</v>
      </c>
      <c r="AA20" s="23" t="n">
        <f aca="false">ModelBasis!$F$26*Retentie!$C$9</f>
        <v>67.5224656296822</v>
      </c>
      <c r="AB20" s="23" t="n">
        <f aca="false">ModelBasis!$F$26*Retentie!$C$10</f>
        <v>63.0209679210368</v>
      </c>
      <c r="AC20" s="23" t="n">
        <f aca="false">ModelBasis!$F$26*Retentie!$C$11</f>
        <v>58.5194702123913</v>
      </c>
      <c r="AD20" s="23" t="n">
        <f aca="false">ModelBasis!$F$26*Retentie!$C$12</f>
        <v>54.0179725037458</v>
      </c>
      <c r="AE20" s="23" t="n">
        <f aca="false">ModelBasis!$F$26*Retentie!$C$13</f>
        <v>51.767223649423</v>
      </c>
      <c r="AF20" s="23" t="n">
        <f aca="false">ModelBasis!$F$26*Retentie!$C$14</f>
        <v>49.5164747951003</v>
      </c>
      <c r="AG20" s="23" t="n">
        <f aca="false">ModelBasis!$F$26*Retentie!$C$15</f>
        <v>48.6161752533712</v>
      </c>
      <c r="AH20" s="23" t="n">
        <f aca="false">ModelBasis!$F$26*Retentie!$C$16</f>
        <v>47.7158757116421</v>
      </c>
      <c r="AI20" s="23" t="n">
        <f aca="false">ModelBasis!$F$26*Retentie!$C$17</f>
        <v>46.815576169913</v>
      </c>
      <c r="AJ20" s="23" t="n">
        <f aca="false">ModelBasis!$F$26*Retentie!$C$18</f>
        <v>45.9152766281839</v>
      </c>
      <c r="AK20" s="23" t="n">
        <f aca="false">ModelBasis!$F$26*Retentie!$C$19</f>
        <v>45.0149770864548</v>
      </c>
    </row>
    <row r="21" customFormat="false" ht="15" hidden="false" customHeight="false" outlineLevel="0" collapsed="false">
      <c r="A21" s="5" t="n">
        <v>20</v>
      </c>
      <c r="U21" s="23" t="n">
        <f aca="false">ModelBasis!$F$27*Retentie!$C$2</f>
        <v>468.15576169913</v>
      </c>
      <c r="V21" s="23" t="n">
        <f aca="false">ModelBasis!$F$27*Retentie!$C$3</f>
        <v>187.262304679652</v>
      </c>
      <c r="W21" s="23" t="n">
        <f aca="false">ModelBasis!$F$27*Retentie!$C$4</f>
        <v>140.446728509739</v>
      </c>
      <c r="X21" s="23" t="n">
        <f aca="false">ModelBasis!$F$27*Retentie!$C$5</f>
        <v>112.357382807791</v>
      </c>
      <c r="Y21" s="23" t="n">
        <f aca="false">ModelBasis!$F$27*Retentie!$C$6</f>
        <v>93.631152339826</v>
      </c>
      <c r="Z21" s="23" t="n">
        <f aca="false">ModelBasis!$F$27*Retentie!$C$7</f>
        <v>84.2680371058434</v>
      </c>
      <c r="AA21" s="23" t="n">
        <f aca="false">ModelBasis!$F$27*Retentie!$C$8</f>
        <v>74.9049218718608</v>
      </c>
      <c r="AB21" s="23" t="n">
        <f aca="false">ModelBasis!$F$27*Retentie!$C$9</f>
        <v>70.2233642548695</v>
      </c>
      <c r="AC21" s="23" t="n">
        <f aca="false">ModelBasis!$F$27*Retentie!$C$10</f>
        <v>65.5418066378782</v>
      </c>
      <c r="AD21" s="23" t="n">
        <f aca="false">ModelBasis!$F$27*Retentie!$C$11</f>
        <v>60.8602490208869</v>
      </c>
      <c r="AE21" s="23" t="n">
        <f aca="false">ModelBasis!$F$27*Retentie!$C$12</f>
        <v>56.1786914038956</v>
      </c>
      <c r="AF21" s="23" t="n">
        <f aca="false">ModelBasis!$F$27*Retentie!$C$13</f>
        <v>53.8379125954</v>
      </c>
      <c r="AG21" s="23" t="n">
        <f aca="false">ModelBasis!$F$27*Retentie!$C$14</f>
        <v>51.4971337869043</v>
      </c>
      <c r="AH21" s="23" t="n">
        <f aca="false">ModelBasis!$F$27*Retentie!$C$15</f>
        <v>50.5608222635061</v>
      </c>
      <c r="AI21" s="23" t="n">
        <f aca="false">ModelBasis!$F$27*Retentie!$C$16</f>
        <v>49.6245107401078</v>
      </c>
      <c r="AJ21" s="23" t="n">
        <f aca="false">ModelBasis!$F$27*Retentie!$C$17</f>
        <v>48.6881992167095</v>
      </c>
      <c r="AK21" s="23" t="n">
        <f aca="false">ModelBasis!$F$27*Retentie!$C$18</f>
        <v>47.7518876933113</v>
      </c>
    </row>
    <row r="22" customFormat="false" ht="15" hidden="false" customHeight="false" outlineLevel="0" collapsed="false">
      <c r="A22" s="5" t="n">
        <v>21</v>
      </c>
      <c r="V22" s="23" t="n">
        <f aca="false">ModelBasis!$F$28*Retentie!$C$2</f>
        <v>486.881992167095</v>
      </c>
      <c r="W22" s="23" t="n">
        <f aca="false">ModelBasis!$F$28*Retentie!$C$3</f>
        <v>194.752796866838</v>
      </c>
      <c r="X22" s="23" t="n">
        <f aca="false">ModelBasis!$F$28*Retentie!$C$4</f>
        <v>146.064597650129</v>
      </c>
      <c r="Y22" s="23" t="n">
        <f aca="false">ModelBasis!$F$28*Retentie!$C$5</f>
        <v>116.851678120103</v>
      </c>
      <c r="Z22" s="23" t="n">
        <f aca="false">ModelBasis!$F$28*Retentie!$C$6</f>
        <v>97.3763984334191</v>
      </c>
      <c r="AA22" s="23" t="n">
        <f aca="false">ModelBasis!$F$28*Retentie!$C$7</f>
        <v>87.6387585900772</v>
      </c>
      <c r="AB22" s="23" t="n">
        <f aca="false">ModelBasis!$F$28*Retentie!$C$8</f>
        <v>77.9011187467353</v>
      </c>
      <c r="AC22" s="23" t="n">
        <f aca="false">ModelBasis!$F$28*Retentie!$C$9</f>
        <v>73.0322988250643</v>
      </c>
      <c r="AD22" s="23" t="n">
        <f aca="false">ModelBasis!$F$28*Retentie!$C$10</f>
        <v>68.1634789033934</v>
      </c>
      <c r="AE22" s="23" t="n">
        <f aca="false">ModelBasis!$F$28*Retentie!$C$11</f>
        <v>63.2946589817224</v>
      </c>
      <c r="AF22" s="23" t="n">
        <f aca="false">ModelBasis!$F$28*Retentie!$C$12</f>
        <v>58.4258390600514</v>
      </c>
      <c r="AG22" s="23" t="n">
        <f aca="false">ModelBasis!$F$28*Retentie!$C$13</f>
        <v>55.991429099216</v>
      </c>
      <c r="AH22" s="23" t="n">
        <f aca="false">ModelBasis!$F$28*Retentie!$C$14</f>
        <v>53.5570191383805</v>
      </c>
      <c r="AI22" s="23" t="n">
        <f aca="false">ModelBasis!$F$28*Retentie!$C$15</f>
        <v>52.5832551540463</v>
      </c>
      <c r="AJ22" s="23" t="n">
        <f aca="false">ModelBasis!$F$28*Retentie!$C$16</f>
        <v>51.6094911697121</v>
      </c>
      <c r="AK22" s="23" t="n">
        <f aca="false">ModelBasis!$F$28*Retentie!$C$17</f>
        <v>50.6357271853779</v>
      </c>
    </row>
    <row r="23" customFormat="false" ht="15" hidden="false" customHeight="false" outlineLevel="0" collapsed="false">
      <c r="A23" s="5" t="n">
        <v>22</v>
      </c>
      <c r="W23" s="23" t="n">
        <f aca="false">ModelBasis!$F$29*Retentie!$C$2</f>
        <v>506.357271853779</v>
      </c>
      <c r="X23" s="23" t="n">
        <f aca="false">ModelBasis!$F$29*Retentie!$C$3</f>
        <v>202.542908741512</v>
      </c>
      <c r="Y23" s="23" t="n">
        <f aca="false">ModelBasis!$F$29*Retentie!$C$4</f>
        <v>151.907181556134</v>
      </c>
      <c r="Z23" s="23" t="n">
        <f aca="false">ModelBasis!$F$29*Retentie!$C$5</f>
        <v>121.525745244907</v>
      </c>
      <c r="AA23" s="23" t="n">
        <f aca="false">ModelBasis!$F$29*Retentie!$C$6</f>
        <v>101.271454370756</v>
      </c>
      <c r="AB23" s="23" t="n">
        <f aca="false">ModelBasis!$F$29*Retentie!$C$7</f>
        <v>91.1443089336803</v>
      </c>
      <c r="AC23" s="23" t="n">
        <f aca="false">ModelBasis!$F$29*Retentie!$C$8</f>
        <v>81.0171634966047</v>
      </c>
      <c r="AD23" s="23" t="n">
        <f aca="false">ModelBasis!$F$29*Retentie!$C$9</f>
        <v>75.9535907780669</v>
      </c>
      <c r="AE23" s="23" t="n">
        <f aca="false">ModelBasis!$F$29*Retentie!$C$10</f>
        <v>70.8900180595291</v>
      </c>
      <c r="AF23" s="23" t="n">
        <f aca="false">ModelBasis!$F$29*Retentie!$C$11</f>
        <v>65.8264453409913</v>
      </c>
      <c r="AG23" s="23" t="n">
        <f aca="false">ModelBasis!$F$29*Retentie!$C$12</f>
        <v>60.7628726224535</v>
      </c>
      <c r="AH23" s="23" t="n">
        <f aca="false">ModelBasis!$F$29*Retentie!$C$13</f>
        <v>58.2310862631846</v>
      </c>
      <c r="AI23" s="23" t="n">
        <f aca="false">ModelBasis!$F$29*Retentie!$C$14</f>
        <v>55.6992999039157</v>
      </c>
      <c r="AJ23" s="23" t="n">
        <f aca="false">ModelBasis!$F$29*Retentie!$C$15</f>
        <v>54.6865853602082</v>
      </c>
      <c r="AK23" s="23" t="n">
        <f aca="false">ModelBasis!$F$29*Retentie!$C$16</f>
        <v>53.6738708165006</v>
      </c>
    </row>
    <row r="24" customFormat="false" ht="15" hidden="false" customHeight="false" outlineLevel="0" collapsed="false">
      <c r="A24" s="5" t="n">
        <v>23</v>
      </c>
      <c r="X24" s="23" t="n">
        <f aca="false">ModelBasis!$F$30*Retentie!$C$2</f>
        <v>526.61156272793</v>
      </c>
      <c r="Y24" s="23" t="n">
        <f aca="false">ModelBasis!$F$30*Retentie!$C$3</f>
        <v>210.644625091172</v>
      </c>
      <c r="Z24" s="23" t="n">
        <f aca="false">ModelBasis!$F$30*Retentie!$C$4</f>
        <v>157.983468818379</v>
      </c>
      <c r="AA24" s="23" t="n">
        <f aca="false">ModelBasis!$F$30*Retentie!$C$5</f>
        <v>126.386775054703</v>
      </c>
      <c r="AB24" s="23" t="n">
        <f aca="false">ModelBasis!$F$30*Retentie!$C$6</f>
        <v>105.322312545586</v>
      </c>
      <c r="AC24" s="23" t="n">
        <f aca="false">ModelBasis!$F$30*Retentie!$C$7</f>
        <v>94.7900812910275</v>
      </c>
      <c r="AD24" s="23" t="n">
        <f aca="false">ModelBasis!$F$30*Retentie!$C$8</f>
        <v>84.2578500364689</v>
      </c>
      <c r="AE24" s="23" t="n">
        <f aca="false">ModelBasis!$F$30*Retentie!$C$9</f>
        <v>78.9917344091896</v>
      </c>
      <c r="AF24" s="23" t="n">
        <f aca="false">ModelBasis!$F$30*Retentie!$C$10</f>
        <v>73.7256187819103</v>
      </c>
      <c r="AG24" s="23" t="n">
        <f aca="false">ModelBasis!$F$30*Retentie!$C$11</f>
        <v>68.459503154631</v>
      </c>
      <c r="AH24" s="23" t="n">
        <f aca="false">ModelBasis!$F$30*Retentie!$C$12</f>
        <v>63.1933875273516</v>
      </c>
      <c r="AI24" s="23" t="n">
        <f aca="false">ModelBasis!$F$30*Retentie!$C$13</f>
        <v>60.560329713712</v>
      </c>
      <c r="AJ24" s="23" t="n">
        <f aca="false">ModelBasis!$F$30*Retentie!$C$14</f>
        <v>57.9272719000723</v>
      </c>
      <c r="AK24" s="23" t="n">
        <f aca="false">ModelBasis!$F$30*Retentie!$C$15</f>
        <v>56.8740487746165</v>
      </c>
    </row>
    <row r="25" customFormat="false" ht="15" hidden="false" customHeight="false" outlineLevel="0" collapsed="false">
      <c r="A25" s="5" t="n">
        <v>24</v>
      </c>
      <c r="Y25" s="23" t="n">
        <f aca="false">ModelBasis!$F$31*Retentie!$C$2</f>
        <v>547.676025237048</v>
      </c>
      <c r="Z25" s="23" t="n">
        <f aca="false">ModelBasis!$F$31*Retentie!$C$3</f>
        <v>219.070410094819</v>
      </c>
      <c r="AA25" s="23" t="n">
        <f aca="false">ModelBasis!$F$31*Retentie!$C$4</f>
        <v>164.302807571114</v>
      </c>
      <c r="AB25" s="23" t="n">
        <f aca="false">ModelBasis!$F$31*Retentie!$C$5</f>
        <v>131.442246056891</v>
      </c>
      <c r="AC25" s="23" t="n">
        <f aca="false">ModelBasis!$F$31*Retentie!$C$6</f>
        <v>109.53520504741</v>
      </c>
      <c r="AD25" s="23" t="n">
        <f aca="false">ModelBasis!$F$31*Retentie!$C$7</f>
        <v>98.5816845426686</v>
      </c>
      <c r="AE25" s="23" t="n">
        <f aca="false">ModelBasis!$F$31*Retentie!$C$8</f>
        <v>87.6281640379276</v>
      </c>
      <c r="AF25" s="23" t="n">
        <f aca="false">ModelBasis!$F$31*Retentie!$C$9</f>
        <v>82.1514037855571</v>
      </c>
      <c r="AG25" s="23" t="n">
        <f aca="false">ModelBasis!$F$31*Retentie!$C$10</f>
        <v>76.6746435331867</v>
      </c>
      <c r="AH25" s="23" t="n">
        <f aca="false">ModelBasis!$F$31*Retentie!$C$11</f>
        <v>71.1978832808162</v>
      </c>
      <c r="AI25" s="23" t="n">
        <f aca="false">ModelBasis!$F$31*Retentie!$C$12</f>
        <v>65.7211230284457</v>
      </c>
      <c r="AJ25" s="23" t="n">
        <f aca="false">ModelBasis!$F$31*Retentie!$C$13</f>
        <v>62.9827429022605</v>
      </c>
      <c r="AK25" s="23" t="n">
        <f aca="false">ModelBasis!$F$31*Retentie!$C$14</f>
        <v>60.2443627760752</v>
      </c>
    </row>
    <row r="26" customFormat="false" ht="15" hidden="false" customHeight="false" outlineLevel="0" collapsed="false">
      <c r="A26" s="5" t="n">
        <v>25</v>
      </c>
      <c r="Z26" s="23" t="n">
        <f aca="false">ModelBasis!$F$32*Retentie!$C$2</f>
        <v>1098.26455025545</v>
      </c>
      <c r="AA26" s="23" t="n">
        <f aca="false">ModelBasis!$F$32*Retentie!$C$3</f>
        <v>439.305820102181</v>
      </c>
      <c r="AB26" s="23" t="n">
        <f aca="false">ModelBasis!$F$32*Retentie!$C$4</f>
        <v>329.479365076636</v>
      </c>
      <c r="AC26" s="23" t="n">
        <f aca="false">ModelBasis!$F$32*Retentie!$C$5</f>
        <v>263.583492061309</v>
      </c>
      <c r="AD26" s="23" t="n">
        <f aca="false">ModelBasis!$F$32*Retentie!$C$6</f>
        <v>219.652910051091</v>
      </c>
      <c r="AE26" s="23" t="n">
        <f aca="false">ModelBasis!$F$32*Retentie!$C$7</f>
        <v>197.687619045982</v>
      </c>
      <c r="AF26" s="23" t="n">
        <f aca="false">ModelBasis!$F$32*Retentie!$C$8</f>
        <v>175.722328040873</v>
      </c>
      <c r="AG26" s="23" t="n">
        <f aca="false">ModelBasis!$F$32*Retentie!$C$9</f>
        <v>164.739682538318</v>
      </c>
      <c r="AH26" s="23" t="n">
        <f aca="false">ModelBasis!$F$32*Retentie!$C$10</f>
        <v>153.757037035764</v>
      </c>
      <c r="AI26" s="23" t="n">
        <f aca="false">ModelBasis!$F$32*Retentie!$C$11</f>
        <v>142.774391533209</v>
      </c>
      <c r="AJ26" s="23" t="n">
        <f aca="false">ModelBasis!$F$32*Retentie!$C$12</f>
        <v>131.791746030654</v>
      </c>
      <c r="AK26" s="23" t="n">
        <f aca="false">ModelBasis!$F$32*Retentie!$C$13</f>
        <v>126.300423279377</v>
      </c>
    </row>
    <row r="27" customFormat="false" ht="15" hidden="false" customHeight="false" outlineLevel="0" collapsed="false">
      <c r="A27" s="5" t="n">
        <v>26</v>
      </c>
      <c r="AA27" s="23" t="n">
        <f aca="false">ModelBasis!$F$33*Retentie!$C$2</f>
        <v>592.366388896391</v>
      </c>
      <c r="AB27" s="23" t="n">
        <f aca="false">ModelBasis!$F$33*Retentie!$C$3</f>
        <v>236.946555558556</v>
      </c>
      <c r="AC27" s="23" t="n">
        <f aca="false">ModelBasis!$F$33*Retentie!$C$4</f>
        <v>177.709916668917</v>
      </c>
      <c r="AD27" s="23" t="n">
        <f aca="false">ModelBasis!$F$33*Retentie!$C$5</f>
        <v>142.167933335134</v>
      </c>
      <c r="AE27" s="23" t="n">
        <f aca="false">ModelBasis!$F$33*Retentie!$C$6</f>
        <v>118.473277779278</v>
      </c>
      <c r="AF27" s="23" t="n">
        <f aca="false">ModelBasis!$F$33*Retentie!$C$7</f>
        <v>106.62595000135</v>
      </c>
      <c r="AG27" s="23" t="n">
        <f aca="false">ModelBasis!$F$33*Retentie!$C$8</f>
        <v>94.7786222234225</v>
      </c>
      <c r="AH27" s="23" t="n">
        <f aca="false">ModelBasis!$F$33*Retentie!$C$9</f>
        <v>88.8549583344586</v>
      </c>
      <c r="AI27" s="23" t="n">
        <f aca="false">ModelBasis!$F$33*Retentie!$C$10</f>
        <v>82.9312944454947</v>
      </c>
      <c r="AJ27" s="23" t="n">
        <f aca="false">ModelBasis!$F$33*Retentie!$C$11</f>
        <v>77.0076305565308</v>
      </c>
      <c r="AK27" s="23" t="n">
        <f aca="false">ModelBasis!$F$33*Retentie!$C$12</f>
        <v>71.0839666675669</v>
      </c>
    </row>
    <row r="28" customFormat="false" ht="15" hidden="false" customHeight="false" outlineLevel="0" collapsed="false">
      <c r="A28" s="5" t="n">
        <v>27</v>
      </c>
      <c r="AB28" s="23" t="n">
        <f aca="false">ModelBasis!$F$34*Retentie!$C$2</f>
        <v>616.061044452246</v>
      </c>
      <c r="AC28" s="23" t="n">
        <f aca="false">ModelBasis!$F$34*Retentie!$C$3</f>
        <v>246.424417780899</v>
      </c>
      <c r="AD28" s="23" t="n">
        <f aca="false">ModelBasis!$F$34*Retentie!$C$4</f>
        <v>184.818313335674</v>
      </c>
      <c r="AE28" s="23" t="n">
        <f aca="false">ModelBasis!$F$34*Retentie!$C$5</f>
        <v>147.854650668539</v>
      </c>
      <c r="AF28" s="23" t="n">
        <f aca="false">ModelBasis!$F$34*Retentie!$C$6</f>
        <v>123.212208890449</v>
      </c>
      <c r="AG28" s="23" t="n">
        <f aca="false">ModelBasis!$F$34*Retentie!$C$7</f>
        <v>110.890988001404</v>
      </c>
      <c r="AH28" s="23" t="n">
        <f aca="false">ModelBasis!$F$34*Retentie!$C$8</f>
        <v>98.5697671123594</v>
      </c>
      <c r="AI28" s="23" t="n">
        <f aca="false">ModelBasis!$F$34*Retentie!$C$9</f>
        <v>92.409156667837</v>
      </c>
      <c r="AJ28" s="23" t="n">
        <f aca="false">ModelBasis!$F$34*Retentie!$C$10</f>
        <v>86.2485462233145</v>
      </c>
      <c r="AK28" s="23" t="n">
        <f aca="false">ModelBasis!$F$34*Retentie!$C$11</f>
        <v>80.087935778792</v>
      </c>
    </row>
    <row r="29" customFormat="false" ht="15" hidden="false" customHeight="false" outlineLevel="0" collapsed="false">
      <c r="A29" s="5" t="n">
        <v>28</v>
      </c>
      <c r="AC29" s="23" t="n">
        <f aca="false">ModelBasis!$F$35*Retentie!$C$2</f>
        <v>640.703486230336</v>
      </c>
      <c r="AD29" s="23" t="n">
        <f aca="false">ModelBasis!$F$35*Retentie!$C$3</f>
        <v>256.281394492135</v>
      </c>
      <c r="AE29" s="23" t="n">
        <f aca="false">ModelBasis!$F$35*Retentie!$C$4</f>
        <v>192.211045869101</v>
      </c>
      <c r="AF29" s="23" t="n">
        <f aca="false">ModelBasis!$F$35*Retentie!$C$5</f>
        <v>153.768836695281</v>
      </c>
      <c r="AG29" s="23" t="n">
        <f aca="false">ModelBasis!$F$35*Retentie!$C$6</f>
        <v>128.140697246067</v>
      </c>
      <c r="AH29" s="23" t="n">
        <f aca="false">ModelBasis!$F$35*Retentie!$C$7</f>
        <v>115.326627521461</v>
      </c>
      <c r="AI29" s="23" t="n">
        <f aca="false">ModelBasis!$F$35*Retentie!$C$8</f>
        <v>102.512557796854</v>
      </c>
      <c r="AJ29" s="23" t="n">
        <f aca="false">ModelBasis!$F$35*Retentie!$C$9</f>
        <v>96.1055229345505</v>
      </c>
      <c r="AK29" s="23" t="n">
        <f aca="false">ModelBasis!$F$35*Retentie!$C$10</f>
        <v>89.6984880722471</v>
      </c>
    </row>
    <row r="30" customFormat="false" ht="15" hidden="false" customHeight="false" outlineLevel="0" collapsed="false">
      <c r="A30" s="5" t="n">
        <v>29</v>
      </c>
      <c r="AD30" s="23" t="n">
        <f aca="false">ModelBasis!$F$36*Retentie!$C$2</f>
        <v>666.33162567955</v>
      </c>
      <c r="AE30" s="23" t="n">
        <f aca="false">ModelBasis!$F$36*Retentie!$C$3</f>
        <v>266.53265027182</v>
      </c>
      <c r="AF30" s="23" t="n">
        <f aca="false">ModelBasis!$F$36*Retentie!$C$4</f>
        <v>199.899487703865</v>
      </c>
      <c r="AG30" s="23" t="n">
        <f aca="false">ModelBasis!$F$36*Retentie!$C$5</f>
        <v>159.919590163092</v>
      </c>
      <c r="AH30" s="23" t="n">
        <f aca="false">ModelBasis!$F$36*Retentie!$C$6</f>
        <v>133.26632513591</v>
      </c>
      <c r="AI30" s="23" t="n">
        <f aca="false">ModelBasis!$F$36*Retentie!$C$7</f>
        <v>119.939692622319</v>
      </c>
      <c r="AJ30" s="23" t="n">
        <f aca="false">ModelBasis!$F$36*Retentie!$C$8</f>
        <v>106.613060108728</v>
      </c>
      <c r="AK30" s="23" t="n">
        <f aca="false">ModelBasis!$F$36*Retentie!$C$9</f>
        <v>99.9497438519325</v>
      </c>
    </row>
    <row r="31" customFormat="false" ht="15" hidden="false" customHeight="false" outlineLevel="0" collapsed="false">
      <c r="A31" s="5" t="n">
        <v>30</v>
      </c>
      <c r="AE31" s="23" t="n">
        <f aca="false">ModelBasis!$F$37*Retentie!$C$2</f>
        <v>692.984890706732</v>
      </c>
      <c r="AF31" s="23" t="n">
        <f aca="false">ModelBasis!$F$37*Retentie!$C$3</f>
        <v>277.193956282693</v>
      </c>
      <c r="AG31" s="23" t="n">
        <f aca="false">ModelBasis!$F$37*Retentie!$C$4</f>
        <v>207.89546721202</v>
      </c>
      <c r="AH31" s="23" t="n">
        <f aca="false">ModelBasis!$F$37*Retentie!$C$5</f>
        <v>166.316373769616</v>
      </c>
      <c r="AI31" s="23" t="n">
        <f aca="false">ModelBasis!$F$37*Retentie!$C$6</f>
        <v>138.596978141346</v>
      </c>
      <c r="AJ31" s="23" t="n">
        <f aca="false">ModelBasis!$F$37*Retentie!$C$7</f>
        <v>124.737280327212</v>
      </c>
      <c r="AK31" s="23" t="n">
        <f aca="false">ModelBasis!$F$37*Retentie!$C$8</f>
        <v>110.877582513077</v>
      </c>
    </row>
    <row r="32" customFormat="false" ht="15" hidden="false" customHeight="false" outlineLevel="0" collapsed="false">
      <c r="A32" s="5" t="n">
        <v>31</v>
      </c>
      <c r="AF32" s="23" t="n">
        <f aca="false">ModelBasis!$F$38*Retentie!$C$2</f>
        <v>720.704286335001</v>
      </c>
      <c r="AG32" s="23" t="n">
        <f aca="false">ModelBasis!$F$38*Retentie!$C$3</f>
        <v>288.281714534</v>
      </c>
      <c r="AH32" s="23" t="n">
        <f aca="false">ModelBasis!$F$38*Retentie!$C$4</f>
        <v>216.2112859005</v>
      </c>
      <c r="AI32" s="23" t="n">
        <f aca="false">ModelBasis!$F$38*Retentie!$C$5</f>
        <v>172.9690287204</v>
      </c>
      <c r="AJ32" s="23" t="n">
        <f aca="false">ModelBasis!$F$38*Retentie!$C$6</f>
        <v>144.140857267</v>
      </c>
      <c r="AK32" s="23" t="n">
        <f aca="false">ModelBasis!$F$38*Retentie!$C$7</f>
        <v>129.7267715403</v>
      </c>
    </row>
    <row r="33" customFormat="false" ht="15" hidden="false" customHeight="false" outlineLevel="0" collapsed="false">
      <c r="A33" s="5" t="n">
        <v>32</v>
      </c>
      <c r="AG33" s="23" t="n">
        <f aca="false">ModelBasis!$F$39*Retentie!$C$2</f>
        <v>749.532457788401</v>
      </c>
      <c r="AH33" s="23" t="n">
        <f aca="false">ModelBasis!$F$39*Retentie!$C$3</f>
        <v>299.812983115361</v>
      </c>
      <c r="AI33" s="23" t="n">
        <f aca="false">ModelBasis!$F$39*Retentie!$C$4</f>
        <v>224.85973733652</v>
      </c>
      <c r="AJ33" s="23" t="n">
        <f aca="false">ModelBasis!$F$39*Retentie!$C$5</f>
        <v>179.887789869216</v>
      </c>
      <c r="AK33" s="23" t="n">
        <f aca="false">ModelBasis!$F$39*Retentie!$C$6</f>
        <v>149.90649155768</v>
      </c>
    </row>
    <row r="34" customFormat="false" ht="15" hidden="false" customHeight="false" outlineLevel="0" collapsed="false">
      <c r="A34" s="5" t="n">
        <v>33</v>
      </c>
      <c r="AH34" s="23" t="n">
        <f aca="false">ModelBasis!$F$40*Retentie!$C$2</f>
        <v>779.513756099937</v>
      </c>
      <c r="AI34" s="23" t="n">
        <f aca="false">ModelBasis!$F$40*Retentie!$C$3</f>
        <v>311.805502439975</v>
      </c>
      <c r="AJ34" s="23" t="n">
        <f aca="false">ModelBasis!$F$40*Retentie!$C$4</f>
        <v>233.854126829981</v>
      </c>
      <c r="AK34" s="23" t="n">
        <f aca="false">ModelBasis!$F$40*Retentie!$C$5</f>
        <v>187.083301463985</v>
      </c>
    </row>
    <row r="35" customFormat="false" ht="15" hidden="false" customHeight="false" outlineLevel="0" collapsed="false">
      <c r="A35" s="5" t="n">
        <v>34</v>
      </c>
      <c r="AI35" s="23" t="n">
        <f aca="false">ModelBasis!$F$41*Retentie!$C$2</f>
        <v>810.694306343935</v>
      </c>
      <c r="AJ35" s="23" t="n">
        <f aca="false">ModelBasis!$F$41*Retentie!$C$3</f>
        <v>324.277722537574</v>
      </c>
      <c r="AK35" s="23" t="n">
        <f aca="false">ModelBasis!$F$41*Retentie!$C$4</f>
        <v>243.20829190318</v>
      </c>
    </row>
    <row r="36" customFormat="false" ht="15" hidden="false" customHeight="false" outlineLevel="0" collapsed="false">
      <c r="A36" s="5" t="n">
        <v>35</v>
      </c>
      <c r="AJ36" s="23" t="n">
        <f aca="false">ModelBasis!$F$42*Retentie!$C$2</f>
        <v>843.122078597692</v>
      </c>
      <c r="AK36" s="23" t="n">
        <f aca="false">ModelBasis!$F$42*Retentie!$C$3</f>
        <v>337.248831439077</v>
      </c>
    </row>
    <row r="37" customFormat="false" ht="15" hidden="false" customHeight="false" outlineLevel="0" collapsed="false">
      <c r="A37" s="5" t="n">
        <v>36</v>
      </c>
      <c r="AK37" s="23" t="n">
        <f aca="false">ModelBasis!$F$43*Retentie!$C$2</f>
        <v>876.8469617416</v>
      </c>
    </row>
    <row r="38" customFormat="false" ht="15" hidden="false" customHeight="false" outlineLevel="0" collapsed="false">
      <c r="A38" s="5" t="s">
        <v>172</v>
      </c>
      <c r="B38" s="29" t="n">
        <f aca="false">SUM(B2:B37)</f>
        <v>495</v>
      </c>
      <c r="C38" s="29" t="n">
        <f aca="false">SUM(C2:C37)</f>
        <v>341</v>
      </c>
      <c r="D38" s="29" t="n">
        <f aca="false">SUM(D2:D37)</f>
        <v>354.42</v>
      </c>
      <c r="E38" s="29" t="n">
        <f aca="false">SUM(E2:E37)</f>
        <v>375.8568</v>
      </c>
      <c r="F38" s="29" t="n">
        <f aca="false">SUM(F2:F37)</f>
        <v>400.659072</v>
      </c>
      <c r="G38" s="29" t="n">
        <f aca="false">SUM(G2:G37)</f>
        <v>431.42543488</v>
      </c>
      <c r="H38" s="29" t="n">
        <f aca="false">SUM(H2:H37)</f>
        <v>460.9584522752</v>
      </c>
      <c r="I38" s="29" t="n">
        <f aca="false">SUM(I2:I37)</f>
        <v>494.158790366208</v>
      </c>
      <c r="J38" s="29" t="n">
        <f aca="false">SUM(J2:J37)</f>
        <v>527.455141980856</v>
      </c>
      <c r="K38" s="29" t="n">
        <f aca="false">SUM(K2:K37)</f>
        <v>560.851347660091</v>
      </c>
      <c r="L38" s="29" t="n">
        <f aca="false">SUM(L2:L37)</f>
        <v>594.351401566494</v>
      </c>
      <c r="M38" s="29" t="n">
        <f aca="false">SUM(M2:M37)</f>
        <v>630.434457629154</v>
      </c>
      <c r="N38" s="29" t="n">
        <f aca="false">SUM(N2:N37)</f>
        <v>997.557731013905</v>
      </c>
      <c r="O38" s="29" t="n">
        <f aca="false">SUM(O2:O37)</f>
        <v>838.685787403527</v>
      </c>
      <c r="P38" s="29" t="n">
        <f aca="false">SUM(P2:P37)</f>
        <v>846.244123070436</v>
      </c>
      <c r="Q38" s="29" t="n">
        <f aca="false">SUM(Q2:Q37)</f>
        <v>868.387759547524</v>
      </c>
      <c r="R38" s="29" t="n">
        <f aca="false">SUM(R2:R37)</f>
        <v>898.567510333477</v>
      </c>
      <c r="S38" s="29" t="n">
        <f aca="false">SUM(S2:S37)</f>
        <v>1101.84064968459</v>
      </c>
      <c r="T38" s="29" t="n">
        <f aca="false">SUM(T2:T37)</f>
        <v>1214.26248492581</v>
      </c>
      <c r="U38" s="29" t="n">
        <f aca="false">SUM(U2:U37)</f>
        <v>1318.49609284353</v>
      </c>
      <c r="V38" s="29" t="n">
        <f aca="false">SUM(V2:V37)</f>
        <v>1417.007930236</v>
      </c>
      <c r="W38" s="29" t="n">
        <f aca="false">SUM(W2:W37)</f>
        <v>1512.8691262822</v>
      </c>
      <c r="X38" s="29" t="n">
        <f aca="false">SUM(X2:X37)</f>
        <v>1609.27365532828</v>
      </c>
      <c r="Y38" s="29" t="n">
        <f aca="false">SUM(Y2:Y37)</f>
        <v>1707.89431516963</v>
      </c>
      <c r="Z38" s="29" t="n">
        <f aca="false">SUM(Z2:Z37)</f>
        <v>2337.43412799258</v>
      </c>
      <c r="AA38" s="29" t="n">
        <f aca="false">SUM(AA2:AA37)</f>
        <v>2124.40138081806</v>
      </c>
      <c r="AB38" s="29" t="n">
        <f aca="false">SUM(AB2:AB37)</f>
        <v>2178.12963840884</v>
      </c>
      <c r="AC38" s="29" t="n">
        <f aca="false">SUM(AC2:AC37)</f>
        <v>2255.52222863126</v>
      </c>
      <c r="AD38" s="29" t="n">
        <f aca="false">SUM(AD2:AD37)</f>
        <v>2346.93120473597</v>
      </c>
      <c r="AE38" s="29" t="n">
        <f aca="false">SUM(AE2:AE37)</f>
        <v>2452.49427697108</v>
      </c>
      <c r="AF38" s="29" t="n">
        <f aca="false">SUM(AF2:AF37)</f>
        <v>2562.2760343144</v>
      </c>
      <c r="AG38" s="29" t="n">
        <f aca="false">SUM(AG2:AG37)</f>
        <v>2682.06225190544</v>
      </c>
      <c r="AH38" s="29" t="n">
        <f aca="false">SUM(AH2:AH37)</f>
        <v>2806.41139930953</v>
      </c>
      <c r="AI38" s="29" t="n">
        <f aca="false">SUM(AI2:AI37)</f>
        <v>2935.50599371918</v>
      </c>
      <c r="AJ38" s="29" t="n">
        <f aca="false">SUM(AJ2:AJ37)</f>
        <v>3069.53585301463</v>
      </c>
      <c r="AK38" s="29" t="n">
        <f aca="false">SUM(AK2:AK37)</f>
        <v>3211.34179521135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22" min="3" style="0" width="11"/>
  </cols>
  <sheetData>
    <row r="1" customFormat="false" ht="16.15" hidden="false" customHeight="false" outlineLevel="0" collapsed="false">
      <c r="A1" s="10" t="s">
        <v>174</v>
      </c>
    </row>
    <row r="2" customFormat="false" ht="15" hidden="false" customHeight="false" outlineLevel="0" collapsed="false">
      <c r="A2" s="20" t="s">
        <v>93</v>
      </c>
    </row>
    <row r="7" customFormat="false" ht="23.85" hidden="false" customHeight="false" outlineLevel="0" collapsed="false">
      <c r="A7" s="21" t="s">
        <v>94</v>
      </c>
      <c r="B7" s="21" t="s">
        <v>95</v>
      </c>
      <c r="C7" s="21" t="s">
        <v>96</v>
      </c>
      <c r="D7" s="21" t="s">
        <v>97</v>
      </c>
      <c r="E7" s="21" t="s">
        <v>98</v>
      </c>
      <c r="F7" s="21" t="s">
        <v>99</v>
      </c>
      <c r="G7" s="21" t="s">
        <v>100</v>
      </c>
      <c r="H7" s="21" t="s">
        <v>101</v>
      </c>
      <c r="I7" s="21" t="s">
        <v>102</v>
      </c>
      <c r="J7" s="21" t="s">
        <v>103</v>
      </c>
      <c r="K7" s="21" t="s">
        <v>104</v>
      </c>
      <c r="L7" s="21" t="s">
        <v>105</v>
      </c>
      <c r="M7" s="21" t="s">
        <v>106</v>
      </c>
      <c r="N7" s="21" t="s">
        <v>107</v>
      </c>
      <c r="O7" s="21" t="s">
        <v>108</v>
      </c>
      <c r="P7" s="21" t="s">
        <v>109</v>
      </c>
      <c r="Q7" s="21" t="s">
        <v>110</v>
      </c>
      <c r="R7" s="21" t="s">
        <v>111</v>
      </c>
      <c r="S7" s="21" t="s">
        <v>112</v>
      </c>
      <c r="T7" s="21" t="s">
        <v>113</v>
      </c>
      <c r="U7" s="21" t="s">
        <v>114</v>
      </c>
      <c r="V7" s="21" t="s">
        <v>115</v>
      </c>
    </row>
    <row r="8" customFormat="false" ht="15" hidden="false" customHeight="false" outlineLevel="0" collapsed="false">
      <c r="A8" s="7" t="n">
        <v>1</v>
      </c>
      <c r="B8" s="7" t="s">
        <v>116</v>
      </c>
      <c r="C8" s="22" t="n">
        <f aca="false">Aannames!$D$4</f>
        <v>1500</v>
      </c>
      <c r="D8" s="22" t="n">
        <f aca="false">IF(A8&gt;=Aannames!$D$24,Aannames!$D$26*(1+Aannames!$D$6)^(A8-Aannames!$D$24),0)</f>
        <v>0</v>
      </c>
      <c r="E8" s="22" t="n">
        <f aca="false">C8+D8</f>
        <v>1500</v>
      </c>
      <c r="F8" s="22" t="n">
        <f aca="false">E8*Aannames!$D$8</f>
        <v>930</v>
      </c>
      <c r="G8" s="23" t="n">
        <f aca="false">CohortBull!B$38</f>
        <v>930</v>
      </c>
      <c r="H8" s="22" t="n">
        <f aca="false">G8*Aannames!$D$9</f>
        <v>37.2</v>
      </c>
      <c r="I8" s="24" t="n">
        <f aca="false">H8*Aannames!$D$10*(1-Aannames!$D$11)</f>
        <v>189.4038</v>
      </c>
      <c r="J8" s="25" t="n">
        <f aca="false">MIN(IF(A8&gt;=Aannames!$D$14,Aannames!$D$15*Aannames!$D$16,0),(Aannames!$D$19+IF(A8&gt;=Aannames!$D$24,Aannames!$D$25,0))*Aannames!$D$20)</f>
        <v>0</v>
      </c>
      <c r="K8" s="24" t="n">
        <f aca="false">J8*Aannames!$D$17</f>
        <v>0</v>
      </c>
      <c r="L8" s="24" t="n">
        <f aca="false">IF(AND(A8&gt;12,MOD(A8-1,12)=0),Aannames!$D$37,0)</f>
        <v>0</v>
      </c>
      <c r="M8" s="24" t="n">
        <f aca="false">I8+K8+L8</f>
        <v>189.4038</v>
      </c>
      <c r="N8" s="24" t="n">
        <f aca="false">Aannames!$D$28+G8*Aannames!$D$29</f>
        <v>78.6</v>
      </c>
      <c r="O8" s="24" t="n">
        <f aca="false">Aannames!$D$30*(1+IF(A8&gt;=Aannames!$D$24,1,0))</f>
        <v>80</v>
      </c>
      <c r="P8" s="24" t="n">
        <f aca="false">Aannames!$D$31</f>
        <v>70</v>
      </c>
      <c r="Q8" s="24" t="n">
        <f aca="false">IF(MOD(A8-1,12)=0,Aannames!$D$32,0)</f>
        <v>150</v>
      </c>
      <c r="R8" s="24" t="n">
        <f aca="false">Aannames!$D$33+IF(MOD(A8-1,12)=0,Aannames!$D$34,0)</f>
        <v>1800</v>
      </c>
      <c r="S8" s="24" t="n">
        <f aca="false">IF(A8=1,Aannames!$D$35,0)</f>
        <v>400</v>
      </c>
      <c r="T8" s="24" t="n">
        <f aca="false">SUM(N8:S8)</f>
        <v>2578.6</v>
      </c>
      <c r="U8" s="24" t="n">
        <f aca="false">M8-T8</f>
        <v>-2389.1962</v>
      </c>
      <c r="V8" s="24" t="n">
        <f aca="false">U8</f>
        <v>-2389.1962</v>
      </c>
    </row>
    <row r="9" customFormat="false" ht="15" hidden="false" customHeight="false" outlineLevel="0" collapsed="false">
      <c r="A9" s="7" t="n">
        <v>2</v>
      </c>
      <c r="B9" s="7" t="s">
        <v>117</v>
      </c>
      <c r="C9" s="22" t="n">
        <f aca="false">Aannames!$D$5*(1+Aannames!$D$6)^(A9-2)*(1+IF(MOD(A9-1,12)=0,Aannames!$D$7,0))</f>
        <v>400</v>
      </c>
      <c r="D9" s="22" t="n">
        <f aca="false">IF(A9&gt;=Aannames!$D$24,Aannames!$D$26*(1+Aannames!$D$6)^(A9-Aannames!$D$24),0)</f>
        <v>0</v>
      </c>
      <c r="E9" s="22" t="n">
        <f aca="false">C9+D9</f>
        <v>400</v>
      </c>
      <c r="F9" s="22" t="n">
        <f aca="false">E9*Aannames!$D$8</f>
        <v>248</v>
      </c>
      <c r="G9" s="23" t="n">
        <f aca="false">CohortBull!C$38</f>
        <v>731.6</v>
      </c>
      <c r="H9" s="22" t="n">
        <f aca="false">G9*Aannames!$D$9</f>
        <v>29.264</v>
      </c>
      <c r="I9" s="24" t="n">
        <f aca="false">H9*Aannames!$D$10*(1-Aannames!$D$11)</f>
        <v>148.997656</v>
      </c>
      <c r="J9" s="25" t="n">
        <f aca="false">MIN(J8*(1-Aannames!$D$18)+IF(A9&gt;=Aannames!$D$14,Aannames!$D$15*Aannames!$D$16,0),(Aannames!$D$19+IF(A9&gt;=Aannames!$D$24,Aannames!$D$25,0))*Aannames!$D$20)</f>
        <v>0</v>
      </c>
      <c r="K9" s="24" t="n">
        <f aca="false">J9*Aannames!$D$17</f>
        <v>0</v>
      </c>
      <c r="L9" s="24" t="n">
        <f aca="false">IF(AND(A9&gt;12,MOD(A9-1,12)=0),Aannames!$D$37,0)</f>
        <v>0</v>
      </c>
      <c r="M9" s="24" t="n">
        <f aca="false">I9+K9+L9</f>
        <v>148.997656</v>
      </c>
      <c r="N9" s="24" t="n">
        <f aca="false">Aannames!$D$28+G9*Aannames!$D$29</f>
        <v>74.632</v>
      </c>
      <c r="O9" s="24" t="n">
        <f aca="false">Aannames!$D$30*(1+IF(A9&gt;=Aannames!$D$24,1,0))</f>
        <v>80</v>
      </c>
      <c r="P9" s="24" t="n">
        <f aca="false">Aannames!$D$31</f>
        <v>70</v>
      </c>
      <c r="Q9" s="24" t="n">
        <f aca="false">IF(MOD(A9-1,12)=0,Aannames!$D$32,0)</f>
        <v>0</v>
      </c>
      <c r="R9" s="24" t="n">
        <f aca="false">Aannames!$D$33+IF(MOD(A9-1,12)=0,Aannames!$D$34,0)</f>
        <v>300</v>
      </c>
      <c r="S9" s="24" t="n">
        <f aca="false">IF(A9=1,Aannames!$D$35,0)</f>
        <v>0</v>
      </c>
      <c r="T9" s="24" t="n">
        <f aca="false">SUM(N9:S9)</f>
        <v>524.632</v>
      </c>
      <c r="U9" s="24" t="n">
        <f aca="false">M9-T9</f>
        <v>-375.634344</v>
      </c>
      <c r="V9" s="24" t="n">
        <f aca="false">V8+U9</f>
        <v>-2764.830544</v>
      </c>
    </row>
    <row r="10" customFormat="false" ht="15" hidden="false" customHeight="false" outlineLevel="0" collapsed="false">
      <c r="A10" s="7" t="n">
        <v>3</v>
      </c>
      <c r="B10" s="7" t="s">
        <v>118</v>
      </c>
      <c r="C10" s="22" t="n">
        <f aca="false">Aannames!$D$5*(1+Aannames!$D$6)^(A10-2)*(1+IF(MOD(A10-1,12)=0,Aannames!$D$7,0))</f>
        <v>424</v>
      </c>
      <c r="D10" s="22" t="n">
        <f aca="false">IF(A10&gt;=Aannames!$D$24,Aannames!$D$26*(1+Aannames!$D$6)^(A10-Aannames!$D$24),0)</f>
        <v>0</v>
      </c>
      <c r="E10" s="22" t="n">
        <f aca="false">C10+D10</f>
        <v>424</v>
      </c>
      <c r="F10" s="22" t="n">
        <f aca="false">E10*Aannames!$D$8</f>
        <v>262.88</v>
      </c>
      <c r="G10" s="23" t="n">
        <f aca="false">CohortBull!D$38</f>
        <v>782.44</v>
      </c>
      <c r="H10" s="22" t="n">
        <f aca="false">G10*Aannames!$D$9</f>
        <v>31.2976</v>
      </c>
      <c r="I10" s="24" t="n">
        <f aca="false">H10*Aannames!$D$10*(1-Aannames!$D$11)</f>
        <v>159.3517304</v>
      </c>
      <c r="J10" s="25" t="n">
        <f aca="false">MIN(J9*(1-Aannames!$D$18)+IF(A10&gt;=Aannames!$D$14,Aannames!$D$15*Aannames!$D$16,0),(Aannames!$D$19+IF(A10&gt;=Aannames!$D$24,Aannames!$D$25,0))*Aannames!$D$20)</f>
        <v>0</v>
      </c>
      <c r="K10" s="24" t="n">
        <f aca="false">J10*Aannames!$D$17</f>
        <v>0</v>
      </c>
      <c r="L10" s="24" t="n">
        <f aca="false">IF(AND(A10&gt;12,MOD(A10-1,12)=0),Aannames!$D$37,0)</f>
        <v>0</v>
      </c>
      <c r="M10" s="24" t="n">
        <f aca="false">I10+K10+L10</f>
        <v>159.3517304</v>
      </c>
      <c r="N10" s="24" t="n">
        <f aca="false">Aannames!$D$28+G10*Aannames!$D$29</f>
        <v>75.6488</v>
      </c>
      <c r="O10" s="24" t="n">
        <f aca="false">Aannames!$D$30*(1+IF(A10&gt;=Aannames!$D$24,1,0))</f>
        <v>80</v>
      </c>
      <c r="P10" s="24" t="n">
        <f aca="false">Aannames!$D$31</f>
        <v>70</v>
      </c>
      <c r="Q10" s="24" t="n">
        <f aca="false">IF(MOD(A10-1,12)=0,Aannames!$D$32,0)</f>
        <v>0</v>
      </c>
      <c r="R10" s="24" t="n">
        <f aca="false">Aannames!$D$33+IF(MOD(A10-1,12)=0,Aannames!$D$34,0)</f>
        <v>300</v>
      </c>
      <c r="S10" s="24" t="n">
        <f aca="false">IF(A10=1,Aannames!$D$35,0)</f>
        <v>0</v>
      </c>
      <c r="T10" s="24" t="n">
        <f aca="false">SUM(N10:S10)</f>
        <v>525.6488</v>
      </c>
      <c r="U10" s="24" t="n">
        <f aca="false">M10-T10</f>
        <v>-366.2970696</v>
      </c>
      <c r="V10" s="24" t="n">
        <f aca="false">V9+U10</f>
        <v>-3131.1276136</v>
      </c>
    </row>
    <row r="11" customFormat="false" ht="15" hidden="false" customHeight="false" outlineLevel="0" collapsed="false">
      <c r="A11" s="7" t="n">
        <v>4</v>
      </c>
      <c r="B11" s="7" t="s">
        <v>119</v>
      </c>
      <c r="C11" s="22" t="n">
        <f aca="false">Aannames!$D$5*(1+Aannames!$D$6)^(A11-2)*(1+IF(MOD(A11-1,12)=0,Aannames!$D$7,0))</f>
        <v>449.44</v>
      </c>
      <c r="D11" s="22" t="n">
        <f aca="false">IF(A11&gt;=Aannames!$D$24,Aannames!$D$26*(1+Aannames!$D$6)^(A11-Aannames!$D$24),0)</f>
        <v>0</v>
      </c>
      <c r="E11" s="22" t="n">
        <f aca="false">C11+D11</f>
        <v>449.44</v>
      </c>
      <c r="F11" s="22" t="n">
        <f aca="false">E11*Aannames!$D$8</f>
        <v>278.6528</v>
      </c>
      <c r="G11" s="23" t="n">
        <f aca="false">CohortBull!E$38</f>
        <v>845.0104</v>
      </c>
      <c r="H11" s="22" t="n">
        <f aca="false">G11*Aannames!$D$9</f>
        <v>33.800416</v>
      </c>
      <c r="I11" s="24" t="n">
        <f aca="false">H11*Aannames!$D$10*(1-Aannames!$D$11)</f>
        <v>172.094818064</v>
      </c>
      <c r="J11" s="25" t="n">
        <f aca="false">MIN(J10*(1-Aannames!$D$18)+IF(A11&gt;=Aannames!$D$14,Aannames!$D$15*Aannames!$D$16,0),(Aannames!$D$19+IF(A11&gt;=Aannames!$D$24,Aannames!$D$25,0))*Aannames!$D$20)</f>
        <v>0</v>
      </c>
      <c r="K11" s="24" t="n">
        <f aca="false">J11*Aannames!$D$17</f>
        <v>0</v>
      </c>
      <c r="L11" s="24" t="n">
        <f aca="false">IF(AND(A11&gt;12,MOD(A11-1,12)=0),Aannames!$D$37,0)</f>
        <v>0</v>
      </c>
      <c r="M11" s="24" t="n">
        <f aca="false">I11+K11+L11</f>
        <v>172.094818064</v>
      </c>
      <c r="N11" s="24" t="n">
        <f aca="false">Aannames!$D$28+G11*Aannames!$D$29</f>
        <v>76.900208</v>
      </c>
      <c r="O11" s="24" t="n">
        <f aca="false">Aannames!$D$30*(1+IF(A11&gt;=Aannames!$D$24,1,0))</f>
        <v>80</v>
      </c>
      <c r="P11" s="24" t="n">
        <f aca="false">Aannames!$D$31</f>
        <v>70</v>
      </c>
      <c r="Q11" s="24" t="n">
        <f aca="false">IF(MOD(A11-1,12)=0,Aannames!$D$32,0)</f>
        <v>0</v>
      </c>
      <c r="R11" s="24" t="n">
        <f aca="false">Aannames!$D$33+IF(MOD(A11-1,12)=0,Aannames!$D$34,0)</f>
        <v>300</v>
      </c>
      <c r="S11" s="24" t="n">
        <f aca="false">IF(A11=1,Aannames!$D$35,0)</f>
        <v>0</v>
      </c>
      <c r="T11" s="24" t="n">
        <f aca="false">SUM(N11:S11)</f>
        <v>526.900208</v>
      </c>
      <c r="U11" s="24" t="n">
        <f aca="false">M11-T11</f>
        <v>-354.805389936</v>
      </c>
      <c r="V11" s="24" t="n">
        <f aca="false">V10+U11</f>
        <v>-3485.933003536</v>
      </c>
    </row>
    <row r="12" customFormat="false" ht="15" hidden="false" customHeight="false" outlineLevel="0" collapsed="false">
      <c r="A12" s="7" t="n">
        <v>5</v>
      </c>
      <c r="B12" s="7" t="s">
        <v>120</v>
      </c>
      <c r="C12" s="22" t="n">
        <f aca="false">Aannames!$D$5*(1+Aannames!$D$6)^(A12-2)*(1+IF(MOD(A12-1,12)=0,Aannames!$D$7,0))</f>
        <v>476.4064</v>
      </c>
      <c r="D12" s="22" t="n">
        <f aca="false">IF(A12&gt;=Aannames!$D$24,Aannames!$D$26*(1+Aannames!$D$6)^(A12-Aannames!$D$24),0)</f>
        <v>0</v>
      </c>
      <c r="E12" s="22" t="n">
        <f aca="false">C12+D12</f>
        <v>476.4064</v>
      </c>
      <c r="F12" s="22" t="n">
        <f aca="false">E12*Aannames!$D$8</f>
        <v>295.371968</v>
      </c>
      <c r="G12" s="23" t="n">
        <f aca="false">CohortBull!F$38</f>
        <v>925.781024</v>
      </c>
      <c r="H12" s="22" t="n">
        <f aca="false">G12*Aannames!$D$9</f>
        <v>37.03124096</v>
      </c>
      <c r="I12" s="24" t="n">
        <f aca="false">H12*Aannames!$D$10*(1-Aannames!$D$11)</f>
        <v>188.54456334784</v>
      </c>
      <c r="J12" s="25" t="n">
        <f aca="false">MIN(J11*(1-Aannames!$D$18)+IF(A12&gt;=Aannames!$D$14,Aannames!$D$15*Aannames!$D$16,0),(Aannames!$D$19+IF(A12&gt;=Aannames!$D$24,Aannames!$D$25,0))*Aannames!$D$20)</f>
        <v>0</v>
      </c>
      <c r="K12" s="24" t="n">
        <f aca="false">J12*Aannames!$D$17</f>
        <v>0</v>
      </c>
      <c r="L12" s="24" t="n">
        <f aca="false">IF(AND(A12&gt;12,MOD(A12-1,12)=0),Aannames!$D$37,0)</f>
        <v>0</v>
      </c>
      <c r="M12" s="24" t="n">
        <f aca="false">I12+K12+L12</f>
        <v>188.54456334784</v>
      </c>
      <c r="N12" s="24" t="n">
        <f aca="false">Aannames!$D$28+G12*Aannames!$D$29</f>
        <v>78.51562048</v>
      </c>
      <c r="O12" s="24" t="n">
        <f aca="false">Aannames!$D$30*(1+IF(A12&gt;=Aannames!$D$24,1,0))</f>
        <v>80</v>
      </c>
      <c r="P12" s="24" t="n">
        <f aca="false">Aannames!$D$31</f>
        <v>70</v>
      </c>
      <c r="Q12" s="24" t="n">
        <f aca="false">IF(MOD(A12-1,12)=0,Aannames!$D$32,0)</f>
        <v>0</v>
      </c>
      <c r="R12" s="24" t="n">
        <f aca="false">Aannames!$D$33+IF(MOD(A12-1,12)=0,Aannames!$D$34,0)</f>
        <v>300</v>
      </c>
      <c r="S12" s="24" t="n">
        <f aca="false">IF(A12=1,Aannames!$D$35,0)</f>
        <v>0</v>
      </c>
      <c r="T12" s="24" t="n">
        <f aca="false">SUM(N12:S12)</f>
        <v>528.51562048</v>
      </c>
      <c r="U12" s="24" t="n">
        <f aca="false">M12-T12</f>
        <v>-339.97105713216</v>
      </c>
      <c r="V12" s="24" t="n">
        <f aca="false">V11+U12</f>
        <v>-3825.90406066816</v>
      </c>
    </row>
    <row r="13" customFormat="false" ht="15" hidden="false" customHeight="false" outlineLevel="0" collapsed="false">
      <c r="A13" s="7" t="n">
        <v>6</v>
      </c>
      <c r="B13" s="7" t="s">
        <v>121</v>
      </c>
      <c r="C13" s="22" t="n">
        <f aca="false">Aannames!$D$5*(1+Aannames!$D$6)^(A13-2)*(1+IF(MOD(A13-1,12)=0,Aannames!$D$7,0))</f>
        <v>504.990784</v>
      </c>
      <c r="D13" s="22" t="n">
        <f aca="false">IF(A13&gt;=Aannames!$D$24,Aannames!$D$26*(1+Aannames!$D$6)^(A13-Aannames!$D$24),0)</f>
        <v>0</v>
      </c>
      <c r="E13" s="22" t="n">
        <f aca="false">C13+D13</f>
        <v>504.990784</v>
      </c>
      <c r="F13" s="22" t="n">
        <f aca="false">E13*Aannames!$D$8</f>
        <v>313.09428608</v>
      </c>
      <c r="G13" s="23" t="n">
        <f aca="false">CohortBull!G$38</f>
        <v>1013.00988544</v>
      </c>
      <c r="H13" s="22" t="n">
        <f aca="false">G13*Aannames!$D$9</f>
        <v>40.5203954176</v>
      </c>
      <c r="I13" s="24" t="n">
        <f aca="false">H13*Aannames!$D$10*(1-Aannames!$D$11)</f>
        <v>206.30959326871</v>
      </c>
      <c r="J13" s="25" t="n">
        <f aca="false">MIN(J12*(1-Aannames!$D$18)+IF(A13&gt;=Aannames!$D$14,Aannames!$D$15*Aannames!$D$16,0),(Aannames!$D$19+IF(A13&gt;=Aannames!$D$24,Aannames!$D$25,0))*Aannames!$D$20)</f>
        <v>4.5</v>
      </c>
      <c r="K13" s="24" t="n">
        <f aca="false">J13*Aannames!$D$17</f>
        <v>247.5</v>
      </c>
      <c r="L13" s="24" t="n">
        <f aca="false">IF(AND(A13&gt;12,MOD(A13-1,12)=0),Aannames!$D$37,0)</f>
        <v>0</v>
      </c>
      <c r="M13" s="24" t="n">
        <f aca="false">I13+K13+L13</f>
        <v>453.80959326871</v>
      </c>
      <c r="N13" s="24" t="n">
        <f aca="false">Aannames!$D$28+G13*Aannames!$D$29</f>
        <v>80.2601977088</v>
      </c>
      <c r="O13" s="24" t="n">
        <f aca="false">Aannames!$D$30*(1+IF(A13&gt;=Aannames!$D$24,1,0))</f>
        <v>80</v>
      </c>
      <c r="P13" s="24" t="n">
        <f aca="false">Aannames!$D$31</f>
        <v>70</v>
      </c>
      <c r="Q13" s="24" t="n">
        <f aca="false">IF(MOD(A13-1,12)=0,Aannames!$D$32,0)</f>
        <v>0</v>
      </c>
      <c r="R13" s="24" t="n">
        <f aca="false">Aannames!$D$33+IF(MOD(A13-1,12)=0,Aannames!$D$34,0)</f>
        <v>300</v>
      </c>
      <c r="S13" s="24" t="n">
        <f aca="false">IF(A13=1,Aannames!$D$35,0)</f>
        <v>0</v>
      </c>
      <c r="T13" s="24" t="n">
        <f aca="false">SUM(N13:S13)</f>
        <v>530.2601977088</v>
      </c>
      <c r="U13" s="24" t="n">
        <f aca="false">M13-T13</f>
        <v>-76.4506044400896</v>
      </c>
      <c r="V13" s="24" t="n">
        <f aca="false">V12+U13</f>
        <v>-3902.35466510825</v>
      </c>
    </row>
    <row r="14" customFormat="false" ht="15" hidden="false" customHeight="false" outlineLevel="0" collapsed="false">
      <c r="A14" s="7" t="n">
        <v>7</v>
      </c>
      <c r="B14" s="7" t="s">
        <v>122</v>
      </c>
      <c r="C14" s="22" t="n">
        <f aca="false">Aannames!$D$5*(1+Aannames!$D$6)^(A14-2)*(1+IF(MOD(A14-1,12)=0,Aannames!$D$7,0))</f>
        <v>535.29023104</v>
      </c>
      <c r="D14" s="22" t="n">
        <f aca="false">IF(A14&gt;=Aannames!$D$24,Aannames!$D$26*(1+Aannames!$D$6)^(A14-Aannames!$D$24),0)</f>
        <v>0</v>
      </c>
      <c r="E14" s="22" t="n">
        <f aca="false">C14+D14</f>
        <v>535.29023104</v>
      </c>
      <c r="F14" s="22" t="n">
        <f aca="false">E14*Aannames!$D$8</f>
        <v>331.8799432448</v>
      </c>
      <c r="G14" s="23" t="n">
        <f aca="false">CohortBull!H$38</f>
        <v>1109.0064785664</v>
      </c>
      <c r="H14" s="22" t="n">
        <f aca="false">G14*Aannames!$D$9</f>
        <v>44.360259142656</v>
      </c>
      <c r="I14" s="24" t="n">
        <f aca="false">H14*Aannames!$D$10*(1-Aannames!$D$11)</f>
        <v>225.860259424833</v>
      </c>
      <c r="J14" s="25" t="n">
        <f aca="false">MIN(J13*(1-Aannames!$D$18)+IF(A14&gt;=Aannames!$D$14,Aannames!$D$15*Aannames!$D$16,0),(Aannames!$D$19+IF(A14&gt;=Aannames!$D$24,Aannames!$D$25,0))*Aannames!$D$20)</f>
        <v>8.9325</v>
      </c>
      <c r="K14" s="24" t="n">
        <f aca="false">J14*Aannames!$D$17</f>
        <v>491.2875</v>
      </c>
      <c r="L14" s="24" t="n">
        <f aca="false">IF(AND(A14&gt;12,MOD(A14-1,12)=0),Aannames!$D$37,0)</f>
        <v>0</v>
      </c>
      <c r="M14" s="24" t="n">
        <f aca="false">I14+K14+L14</f>
        <v>717.147759424833</v>
      </c>
      <c r="N14" s="24" t="n">
        <f aca="false">Aannames!$D$28+G14*Aannames!$D$29</f>
        <v>82.180129571328</v>
      </c>
      <c r="O14" s="24" t="n">
        <f aca="false">Aannames!$D$30*(1+IF(A14&gt;=Aannames!$D$24,1,0))</f>
        <v>80</v>
      </c>
      <c r="P14" s="24" t="n">
        <f aca="false">Aannames!$D$31</f>
        <v>70</v>
      </c>
      <c r="Q14" s="24" t="n">
        <f aca="false">IF(MOD(A14-1,12)=0,Aannames!$D$32,0)</f>
        <v>0</v>
      </c>
      <c r="R14" s="24" t="n">
        <f aca="false">Aannames!$D$33+IF(MOD(A14-1,12)=0,Aannames!$D$34,0)</f>
        <v>300</v>
      </c>
      <c r="S14" s="24" t="n">
        <f aca="false">IF(A14=1,Aannames!$D$35,0)</f>
        <v>0</v>
      </c>
      <c r="T14" s="24" t="n">
        <f aca="false">SUM(N14:S14)</f>
        <v>532.180129571328</v>
      </c>
      <c r="U14" s="24" t="n">
        <f aca="false">M14-T14</f>
        <v>184.967629853505</v>
      </c>
      <c r="V14" s="24" t="n">
        <f aca="false">V13+U14</f>
        <v>-3717.38703525474</v>
      </c>
    </row>
    <row r="15" customFormat="false" ht="15" hidden="false" customHeight="false" outlineLevel="0" collapsed="false">
      <c r="A15" s="7" t="n">
        <v>8</v>
      </c>
      <c r="B15" s="7" t="s">
        <v>123</v>
      </c>
      <c r="C15" s="22" t="n">
        <f aca="false">Aannames!$D$5*(1+Aannames!$D$6)^(A15-2)*(1+IF(MOD(A15-1,12)=0,Aannames!$D$7,0))</f>
        <v>567.4076449024</v>
      </c>
      <c r="D15" s="22" t="n">
        <f aca="false">IF(A15&gt;=Aannames!$D$24,Aannames!$D$26*(1+Aannames!$D$6)^(A15-Aannames!$D$24),0)</f>
        <v>0</v>
      </c>
      <c r="E15" s="22" t="n">
        <f aca="false">C15+D15</f>
        <v>567.4076449024</v>
      </c>
      <c r="F15" s="22" t="n">
        <f aca="false">E15*Aannames!$D$8</f>
        <v>351.792739839488</v>
      </c>
      <c r="G15" s="23" t="n">
        <f aca="false">CohortBull!I$38</f>
        <v>1211.56886728038</v>
      </c>
      <c r="H15" s="22" t="n">
        <f aca="false">G15*Aannames!$D$9</f>
        <v>48.4627546912154</v>
      </c>
      <c r="I15" s="24" t="n">
        <f aca="false">H15*Aannames!$D$10*(1-Aannames!$D$11)</f>
        <v>246.748115510323</v>
      </c>
      <c r="J15" s="25" t="n">
        <f aca="false">MIN(J14*(1-Aannames!$D$18)+IF(A15&gt;=Aannames!$D$14,Aannames!$D$15*Aannames!$D$16,0),(Aannames!$D$19+IF(A15&gt;=Aannames!$D$24,Aannames!$D$25,0))*Aannames!$D$20)</f>
        <v>13.2985125</v>
      </c>
      <c r="K15" s="24" t="n">
        <f aca="false">J15*Aannames!$D$17</f>
        <v>731.4181875</v>
      </c>
      <c r="L15" s="24" t="n">
        <f aca="false">IF(AND(A15&gt;12,MOD(A15-1,12)=0),Aannames!$D$37,0)</f>
        <v>0</v>
      </c>
      <c r="M15" s="24" t="n">
        <f aca="false">I15+K15+L15</f>
        <v>978.166303010323</v>
      </c>
      <c r="N15" s="24" t="n">
        <f aca="false">Aannames!$D$28+G15*Aannames!$D$29</f>
        <v>84.2313773456077</v>
      </c>
      <c r="O15" s="24" t="n">
        <f aca="false">Aannames!$D$30*(1+IF(A15&gt;=Aannames!$D$24,1,0))</f>
        <v>80</v>
      </c>
      <c r="P15" s="24" t="n">
        <f aca="false">Aannames!$D$31</f>
        <v>70</v>
      </c>
      <c r="Q15" s="24" t="n">
        <f aca="false">IF(MOD(A15-1,12)=0,Aannames!$D$32,0)</f>
        <v>0</v>
      </c>
      <c r="R15" s="24" t="n">
        <f aca="false">Aannames!$D$33+IF(MOD(A15-1,12)=0,Aannames!$D$34,0)</f>
        <v>300</v>
      </c>
      <c r="S15" s="24" t="n">
        <f aca="false">IF(A15=1,Aannames!$D$35,0)</f>
        <v>0</v>
      </c>
      <c r="T15" s="24" t="n">
        <f aca="false">SUM(N15:S15)</f>
        <v>534.231377345608</v>
      </c>
      <c r="U15" s="24" t="n">
        <f aca="false">M15-T15</f>
        <v>443.934925664715</v>
      </c>
      <c r="V15" s="24" t="n">
        <f aca="false">V14+U15</f>
        <v>-3273.45210959003</v>
      </c>
    </row>
    <row r="16" customFormat="false" ht="15" hidden="false" customHeight="false" outlineLevel="0" collapsed="false">
      <c r="A16" s="7" t="n">
        <v>9</v>
      </c>
      <c r="B16" s="7" t="s">
        <v>124</v>
      </c>
      <c r="C16" s="22" t="n">
        <f aca="false">Aannames!$D$5*(1+Aannames!$D$6)^(A16-2)*(1+IF(MOD(A16-1,12)=0,Aannames!$D$7,0))</f>
        <v>601.452103596544</v>
      </c>
      <c r="D16" s="22" t="n">
        <f aca="false">IF(A16&gt;=Aannames!$D$24,Aannames!$D$26*(1+Aannames!$D$6)^(A16-Aannames!$D$24),0)</f>
        <v>0</v>
      </c>
      <c r="E16" s="22" t="n">
        <f aca="false">C16+D16</f>
        <v>601.452103596544</v>
      </c>
      <c r="F16" s="22" t="n">
        <f aca="false">E16*Aannames!$D$8</f>
        <v>372.900304229857</v>
      </c>
      <c r="G16" s="23" t="n">
        <f aca="false">CohortBull!J$38</f>
        <v>1322.05199931721</v>
      </c>
      <c r="H16" s="22" t="n">
        <f aca="false">G16*Aannames!$D$9</f>
        <v>52.8820799726883</v>
      </c>
      <c r="I16" s="24" t="n">
        <f aca="false">H16*Aannames!$D$10*(1-Aannames!$D$11)</f>
        <v>269.249110180942</v>
      </c>
      <c r="J16" s="25" t="n">
        <f aca="false">MIN(J15*(1-Aannames!$D$18)+IF(A16&gt;=Aannames!$D$14,Aannames!$D$15*Aannames!$D$16,0),(Aannames!$D$19+IF(A16&gt;=Aannames!$D$24,Aannames!$D$25,0))*Aannames!$D$20)</f>
        <v>17.5990348125</v>
      </c>
      <c r="K16" s="24" t="n">
        <f aca="false">J16*Aannames!$D$17</f>
        <v>967.9469146875</v>
      </c>
      <c r="L16" s="24" t="n">
        <f aca="false">IF(AND(A16&gt;12,MOD(A16-1,12)=0),Aannames!$D$37,0)</f>
        <v>0</v>
      </c>
      <c r="M16" s="24" t="n">
        <f aca="false">I16+K16+L16</f>
        <v>1237.19602486844</v>
      </c>
      <c r="N16" s="24" t="n">
        <f aca="false">Aannames!$D$28+G16*Aannames!$D$29</f>
        <v>86.4410399863442</v>
      </c>
      <c r="O16" s="24" t="n">
        <f aca="false">Aannames!$D$30*(1+IF(A16&gt;=Aannames!$D$24,1,0))</f>
        <v>80</v>
      </c>
      <c r="P16" s="24" t="n">
        <f aca="false">Aannames!$D$31</f>
        <v>70</v>
      </c>
      <c r="Q16" s="24" t="n">
        <f aca="false">IF(MOD(A16-1,12)=0,Aannames!$D$32,0)</f>
        <v>0</v>
      </c>
      <c r="R16" s="24" t="n">
        <f aca="false">Aannames!$D$33+IF(MOD(A16-1,12)=0,Aannames!$D$34,0)</f>
        <v>300</v>
      </c>
      <c r="S16" s="24" t="n">
        <f aca="false">IF(A16=1,Aannames!$D$35,0)</f>
        <v>0</v>
      </c>
      <c r="T16" s="24" t="n">
        <f aca="false">SUM(N16:S16)</f>
        <v>536.441039986344</v>
      </c>
      <c r="U16" s="24" t="n">
        <f aca="false">M16-T16</f>
        <v>700.754984882099</v>
      </c>
      <c r="V16" s="24" t="n">
        <f aca="false">V15+U16</f>
        <v>-2572.69712470793</v>
      </c>
    </row>
    <row r="17" customFormat="false" ht="15" hidden="false" customHeight="false" outlineLevel="0" collapsed="false">
      <c r="A17" s="7" t="n">
        <v>10</v>
      </c>
      <c r="B17" s="7" t="s">
        <v>125</v>
      </c>
      <c r="C17" s="22" t="n">
        <f aca="false">Aannames!$D$5*(1+Aannames!$D$6)^(A17-2)*(1+IF(MOD(A17-1,12)=0,Aannames!$D$7,0))</f>
        <v>637.539229812337</v>
      </c>
      <c r="D17" s="22" t="n">
        <f aca="false">IF(A17&gt;=Aannames!$D$24,Aannames!$D$26*(1+Aannames!$D$6)^(A17-Aannames!$D$24),0)</f>
        <v>0</v>
      </c>
      <c r="E17" s="22" t="n">
        <f aca="false">C17+D17</f>
        <v>637.539229812337</v>
      </c>
      <c r="F17" s="22" t="n">
        <f aca="false">E17*Aannames!$D$8</f>
        <v>395.274322483649</v>
      </c>
      <c r="G17" s="23" t="n">
        <f aca="false">CohortBull!K$38</f>
        <v>1437.24211927624</v>
      </c>
      <c r="H17" s="22" t="n">
        <f aca="false">G17*Aannames!$D$9</f>
        <v>57.4896847710496</v>
      </c>
      <c r="I17" s="24" t="n">
        <f aca="false">H17*Aannames!$D$10*(1-Aannames!$D$11)</f>
        <v>292.708730011799</v>
      </c>
      <c r="J17" s="25" t="n">
        <f aca="false">MIN(J16*(1-Aannames!$D$18)+IF(A17&gt;=Aannames!$D$14,Aannames!$D$15*Aannames!$D$16,0),(Aannames!$D$19+IF(A17&gt;=Aannames!$D$24,Aannames!$D$25,0))*Aannames!$D$20)</f>
        <v>21.8350492903125</v>
      </c>
      <c r="K17" s="24" t="n">
        <f aca="false">J17*Aannames!$D$17</f>
        <v>1200.92771096719</v>
      </c>
      <c r="L17" s="24" t="n">
        <f aca="false">IF(AND(A17&gt;12,MOD(A17-1,12)=0),Aannames!$D$37,0)</f>
        <v>0</v>
      </c>
      <c r="M17" s="24" t="n">
        <f aca="false">I17+K17+L17</f>
        <v>1493.63644097899</v>
      </c>
      <c r="N17" s="24" t="n">
        <f aca="false">Aannames!$D$28+G17*Aannames!$D$29</f>
        <v>88.7448423855248</v>
      </c>
      <c r="O17" s="24" t="n">
        <f aca="false">Aannames!$D$30*(1+IF(A17&gt;=Aannames!$D$24,1,0))</f>
        <v>80</v>
      </c>
      <c r="P17" s="24" t="n">
        <f aca="false">Aannames!$D$31</f>
        <v>70</v>
      </c>
      <c r="Q17" s="24" t="n">
        <f aca="false">IF(MOD(A17-1,12)=0,Aannames!$D$32,0)</f>
        <v>0</v>
      </c>
      <c r="R17" s="24" t="n">
        <f aca="false">Aannames!$D$33+IF(MOD(A17-1,12)=0,Aannames!$D$34,0)</f>
        <v>300</v>
      </c>
      <c r="S17" s="24" t="n">
        <f aca="false">IF(A17=1,Aannames!$D$35,0)</f>
        <v>0</v>
      </c>
      <c r="T17" s="24" t="n">
        <f aca="false">SUM(N17:S17)</f>
        <v>538.744842385525</v>
      </c>
      <c r="U17" s="24" t="n">
        <f aca="false">M17-T17</f>
        <v>954.891598593462</v>
      </c>
      <c r="V17" s="24" t="n">
        <f aca="false">V16+U17</f>
        <v>-1617.80552611447</v>
      </c>
    </row>
    <row r="18" customFormat="false" ht="15" hidden="false" customHeight="false" outlineLevel="0" collapsed="false">
      <c r="A18" s="7" t="n">
        <v>11</v>
      </c>
      <c r="B18" s="7" t="s">
        <v>126</v>
      </c>
      <c r="C18" s="22" t="n">
        <f aca="false">Aannames!$D$5*(1+Aannames!$D$6)^(A18-2)*(1+IF(MOD(A18-1,12)=0,Aannames!$D$7,0))</f>
        <v>675.791583601077</v>
      </c>
      <c r="D18" s="22" t="n">
        <f aca="false">IF(A18&gt;=Aannames!$D$24,Aannames!$D$26*(1+Aannames!$D$6)^(A18-Aannames!$D$24),0)</f>
        <v>0</v>
      </c>
      <c r="E18" s="22" t="n">
        <f aca="false">C18+D18</f>
        <v>675.791583601077</v>
      </c>
      <c r="F18" s="22" t="n">
        <f aca="false">E18*Aannames!$D$8</f>
        <v>418.990781832668</v>
      </c>
      <c r="G18" s="23" t="n">
        <f aca="false">CohortBull!L$38</f>
        <v>1557.42164643281</v>
      </c>
      <c r="H18" s="22" t="n">
        <f aca="false">G18*Aannames!$D$9</f>
        <v>62.2968658573126</v>
      </c>
      <c r="I18" s="24" t="n">
        <f aca="false">H18*Aannames!$D$10*(1-Aannames!$D$11)</f>
        <v>317.184492512507</v>
      </c>
      <c r="J18" s="25" t="n">
        <f aca="false">MIN(J17*(1-Aannames!$D$18)+IF(A18&gt;=Aannames!$D$14,Aannames!$D$15*Aannames!$D$16,0),(Aannames!$D$19+IF(A18&gt;=Aannames!$D$24,Aannames!$D$25,0))*Aannames!$D$20)</f>
        <v>26.0075235509578</v>
      </c>
      <c r="K18" s="24" t="n">
        <f aca="false">J18*Aannames!$D$17</f>
        <v>1430.41379530268</v>
      </c>
      <c r="L18" s="24" t="n">
        <f aca="false">IF(AND(A18&gt;12,MOD(A18-1,12)=0),Aannames!$D$37,0)</f>
        <v>0</v>
      </c>
      <c r="M18" s="24" t="n">
        <f aca="false">I18+K18+L18</f>
        <v>1747.59828781519</v>
      </c>
      <c r="N18" s="24" t="n">
        <f aca="false">Aannames!$D$28+G18*Aannames!$D$29</f>
        <v>91.1484329286563</v>
      </c>
      <c r="O18" s="24" t="n">
        <f aca="false">Aannames!$D$30*(1+IF(A18&gt;=Aannames!$D$24,1,0))</f>
        <v>80</v>
      </c>
      <c r="P18" s="24" t="n">
        <f aca="false">Aannames!$D$31</f>
        <v>70</v>
      </c>
      <c r="Q18" s="24" t="n">
        <f aca="false">IF(MOD(A18-1,12)=0,Aannames!$D$32,0)</f>
        <v>0</v>
      </c>
      <c r="R18" s="24" t="n">
        <f aca="false">Aannames!$D$33+IF(MOD(A18-1,12)=0,Aannames!$D$34,0)</f>
        <v>300</v>
      </c>
      <c r="S18" s="24" t="n">
        <f aca="false">IF(A18=1,Aannames!$D$35,0)</f>
        <v>0</v>
      </c>
      <c r="T18" s="24" t="n">
        <f aca="false">SUM(N18:S18)</f>
        <v>541.148432928656</v>
      </c>
      <c r="U18" s="24" t="n">
        <f aca="false">M18-T18</f>
        <v>1206.44985488653</v>
      </c>
      <c r="V18" s="24" t="n">
        <f aca="false">V17+U18</f>
        <v>-411.355671227939</v>
      </c>
    </row>
    <row r="19" customFormat="false" ht="15" hidden="false" customHeight="false" outlineLevel="0" collapsed="false">
      <c r="A19" s="7" t="n">
        <v>12</v>
      </c>
      <c r="B19" s="7" t="s">
        <v>127</v>
      </c>
      <c r="C19" s="22" t="n">
        <f aca="false">Aannames!$D$5*(1+Aannames!$D$6)^(A19-2)*(1+IF(MOD(A19-1,12)=0,Aannames!$D$7,0))</f>
        <v>716.339078617142</v>
      </c>
      <c r="D19" s="22" t="n">
        <f aca="false">IF(A19&gt;=Aannames!$D$24,Aannames!$D$26*(1+Aannames!$D$6)^(A19-Aannames!$D$24),0)</f>
        <v>0</v>
      </c>
      <c r="E19" s="22" t="n">
        <f aca="false">C19+D19</f>
        <v>716.339078617142</v>
      </c>
      <c r="F19" s="22" t="n">
        <f aca="false">E19*Aannames!$D$8</f>
        <v>444.130228742628</v>
      </c>
      <c r="G19" s="23" t="n">
        <f aca="false">CohortBull!M$38</f>
        <v>1687.53994521878</v>
      </c>
      <c r="H19" s="22" t="n">
        <f aca="false">G19*Aannames!$D$9</f>
        <v>67.5015978087513</v>
      </c>
      <c r="I19" s="24" t="n">
        <f aca="false">H19*Aannames!$D$10*(1-Aannames!$D$11)</f>
        <v>343.684385243257</v>
      </c>
      <c r="J19" s="25" t="n">
        <f aca="false">MIN(J18*(1-Aannames!$D$18)+IF(A19&gt;=Aannames!$D$14,Aannames!$D$15*Aannames!$D$16,0),(Aannames!$D$19+IF(A19&gt;=Aannames!$D$24,Aannames!$D$25,0))*Aannames!$D$20)</f>
        <v>30.1174106976934</v>
      </c>
      <c r="K19" s="24" t="n">
        <f aca="false">J19*Aannames!$D$17</f>
        <v>1656.45758837314</v>
      </c>
      <c r="L19" s="24" t="n">
        <f aca="false">IF(AND(A19&gt;12,MOD(A19-1,12)=0),Aannames!$D$37,0)</f>
        <v>0</v>
      </c>
      <c r="M19" s="24" t="n">
        <f aca="false">I19+K19+L19</f>
        <v>2000.1419736164</v>
      </c>
      <c r="N19" s="24" t="n">
        <f aca="false">Aannames!$D$28+G19*Aannames!$D$29</f>
        <v>93.7507989043757</v>
      </c>
      <c r="O19" s="24" t="n">
        <f aca="false">Aannames!$D$30*(1+IF(A19&gt;=Aannames!$D$24,1,0))</f>
        <v>80</v>
      </c>
      <c r="P19" s="24" t="n">
        <f aca="false">Aannames!$D$31</f>
        <v>70</v>
      </c>
      <c r="Q19" s="24" t="n">
        <f aca="false">IF(MOD(A19-1,12)=0,Aannames!$D$32,0)</f>
        <v>0</v>
      </c>
      <c r="R19" s="24" t="n">
        <f aca="false">Aannames!$D$33+IF(MOD(A19-1,12)=0,Aannames!$D$34,0)</f>
        <v>300</v>
      </c>
      <c r="S19" s="24" t="n">
        <f aca="false">IF(A19=1,Aannames!$D$35,0)</f>
        <v>0</v>
      </c>
      <c r="T19" s="24" t="n">
        <f aca="false">SUM(N19:S19)</f>
        <v>543.750798904376</v>
      </c>
      <c r="U19" s="24" t="n">
        <f aca="false">M19-T19</f>
        <v>1456.39117471202</v>
      </c>
      <c r="V19" s="24" t="n">
        <f aca="false">V18+U19</f>
        <v>1045.03550348408</v>
      </c>
    </row>
    <row r="20" customFormat="false" ht="15" hidden="false" customHeight="false" outlineLevel="0" collapsed="false">
      <c r="A20" s="7" t="n">
        <v>13</v>
      </c>
      <c r="B20" s="7" t="s">
        <v>128</v>
      </c>
      <c r="C20" s="22" t="n">
        <f aca="false">Aannames!$D$5*(1+Aannames!$D$6)^(A20-2)*(1+IF(MOD(A20-1,12)=0,Aannames!$D$7,0))</f>
        <v>2657.6179816696</v>
      </c>
      <c r="D20" s="22" t="n">
        <f aca="false">IF(A20&gt;=Aannames!$D$24,Aannames!$D$26*(1+Aannames!$D$6)^(A20-Aannames!$D$24),0)</f>
        <v>500</v>
      </c>
      <c r="E20" s="22" t="n">
        <f aca="false">C20+D20</f>
        <v>3157.6179816696</v>
      </c>
      <c r="F20" s="22" t="n">
        <f aca="false">E20*Aannames!$D$8</f>
        <v>1957.72314863515</v>
      </c>
      <c r="G20" s="23" t="n">
        <f aca="false">CohortBull!N$38</f>
        <v>3311.44944809987</v>
      </c>
      <c r="H20" s="22" t="n">
        <f aca="false">G20*Aannames!$D$9</f>
        <v>132.457977923995</v>
      </c>
      <c r="I20" s="24" t="n">
        <f aca="false">H20*Aannames!$D$10*(1-Aannames!$D$11)</f>
        <v>674.40979460002</v>
      </c>
      <c r="J20" s="25" t="n">
        <f aca="false">MIN(J19*(1-Aannames!$D$18)+IF(A20&gt;=Aannames!$D$14,Aannames!$D$15*Aannames!$D$16,0),(Aannames!$D$19+IF(A20&gt;=Aannames!$D$24,Aannames!$D$25,0))*Aannames!$D$20)</f>
        <v>34.1656495372281</v>
      </c>
      <c r="K20" s="24" t="n">
        <f aca="false">J20*Aannames!$D$17</f>
        <v>1879.11072454754</v>
      </c>
      <c r="L20" s="24" t="n">
        <f aca="false">IF(AND(A20&gt;12,MOD(A20-1,12)=0),Aannames!$D$37,0)</f>
        <v>10000</v>
      </c>
      <c r="M20" s="24" t="n">
        <f aca="false">I20+K20+L20</f>
        <v>12553.5205191476</v>
      </c>
      <c r="N20" s="24" t="n">
        <f aca="false">Aannames!$D$28+G20*Aannames!$D$29</f>
        <v>126.228988961997</v>
      </c>
      <c r="O20" s="24" t="n">
        <f aca="false">Aannames!$D$30*(1+IF(A20&gt;=Aannames!$D$24,1,0))</f>
        <v>160</v>
      </c>
      <c r="P20" s="24" t="n">
        <f aca="false">Aannames!$D$31</f>
        <v>70</v>
      </c>
      <c r="Q20" s="24" t="n">
        <f aca="false">IF(MOD(A20-1,12)=0,Aannames!$D$32,0)</f>
        <v>150</v>
      </c>
      <c r="R20" s="24" t="n">
        <f aca="false">Aannames!$D$33+IF(MOD(A20-1,12)=0,Aannames!$D$34,0)</f>
        <v>1800</v>
      </c>
      <c r="S20" s="24" t="n">
        <f aca="false">IF(A20=1,Aannames!$D$35,0)</f>
        <v>0</v>
      </c>
      <c r="T20" s="24" t="n">
        <f aca="false">SUM(N20:S20)</f>
        <v>2306.228988962</v>
      </c>
      <c r="U20" s="24" t="n">
        <f aca="false">M20-T20</f>
        <v>10247.2915301856</v>
      </c>
      <c r="V20" s="24" t="n">
        <f aca="false">V19+U20</f>
        <v>11292.3270336697</v>
      </c>
    </row>
    <row r="21" customFormat="false" ht="15" hidden="false" customHeight="false" outlineLevel="0" collapsed="false">
      <c r="A21" s="7" t="n">
        <v>14</v>
      </c>
      <c r="B21" s="7" t="s">
        <v>129</v>
      </c>
      <c r="C21" s="22" t="n">
        <f aca="false">Aannames!$D$5*(1+Aannames!$D$6)^(A21-2)*(1+IF(MOD(A21-1,12)=0,Aannames!$D$7,0))</f>
        <v>804.878588734221</v>
      </c>
      <c r="D21" s="22" t="n">
        <f aca="false">IF(A21&gt;=Aannames!$D$24,Aannames!$D$26*(1+Aannames!$D$6)^(A21-Aannames!$D$24),0)</f>
        <v>530</v>
      </c>
      <c r="E21" s="22" t="n">
        <f aca="false">C21+D21</f>
        <v>1334.87858873422</v>
      </c>
      <c r="F21" s="22" t="n">
        <f aca="false">E21*Aannames!$D$8</f>
        <v>827.624725015217</v>
      </c>
      <c r="G21" s="23" t="n">
        <f aca="false">CohortBull!O$38</f>
        <v>3070.53705765517</v>
      </c>
      <c r="H21" s="22" t="n">
        <f aca="false">G21*Aannames!$D$9</f>
        <v>122.821482306207</v>
      </c>
      <c r="I21" s="24" t="n">
        <f aca="false">H21*Aannames!$D$10*(1-Aannames!$D$11)</f>
        <v>625.345577162051</v>
      </c>
      <c r="J21" s="25" t="n">
        <f aca="false">MIN(J20*(1-Aannames!$D$18)+IF(A21&gt;=Aannames!$D$14,Aannames!$D$15*Aannames!$D$16,0),(Aannames!$D$19+IF(A21&gt;=Aannames!$D$24,Aannames!$D$25,0))*Aannames!$D$20)</f>
        <v>38.1531647941696</v>
      </c>
      <c r="K21" s="24" t="n">
        <f aca="false">J21*Aannames!$D$17</f>
        <v>2098.42406367933</v>
      </c>
      <c r="L21" s="24" t="n">
        <f aca="false">IF(AND(A21&gt;12,MOD(A21-1,12)=0),Aannames!$D$37,0)</f>
        <v>0</v>
      </c>
      <c r="M21" s="24" t="n">
        <f aca="false">I21+K21+L21</f>
        <v>2723.76964084138</v>
      </c>
      <c r="N21" s="24" t="n">
        <f aca="false">Aannames!$D$28+G21*Aannames!$D$29</f>
        <v>121.410741153103</v>
      </c>
      <c r="O21" s="24" t="n">
        <f aca="false">Aannames!$D$30*(1+IF(A21&gt;=Aannames!$D$24,1,0))</f>
        <v>160</v>
      </c>
      <c r="P21" s="24" t="n">
        <f aca="false">Aannames!$D$31</f>
        <v>70</v>
      </c>
      <c r="Q21" s="24" t="n">
        <f aca="false">IF(MOD(A21-1,12)=0,Aannames!$D$32,0)</f>
        <v>0</v>
      </c>
      <c r="R21" s="24" t="n">
        <f aca="false">Aannames!$D$33+IF(MOD(A21-1,12)=0,Aannames!$D$34,0)</f>
        <v>300</v>
      </c>
      <c r="S21" s="24" t="n">
        <f aca="false">IF(A21=1,Aannames!$D$35,0)</f>
        <v>0</v>
      </c>
      <c r="T21" s="24" t="n">
        <f aca="false">SUM(N21:S21)</f>
        <v>651.410741153103</v>
      </c>
      <c r="U21" s="24" t="n">
        <f aca="false">M21-T21</f>
        <v>2072.35889968828</v>
      </c>
      <c r="V21" s="24" t="n">
        <f aca="false">V20+U21</f>
        <v>13364.6859333579</v>
      </c>
    </row>
    <row r="22" customFormat="false" ht="15" hidden="false" customHeight="false" outlineLevel="0" collapsed="false">
      <c r="A22" s="7" t="n">
        <v>15</v>
      </c>
      <c r="B22" s="7" t="s">
        <v>130</v>
      </c>
      <c r="C22" s="22" t="n">
        <f aca="false">Aannames!$D$5*(1+Aannames!$D$6)^(A22-2)*(1+IF(MOD(A22-1,12)=0,Aannames!$D$7,0))</f>
        <v>853.171304058274</v>
      </c>
      <c r="D22" s="22" t="n">
        <f aca="false">IF(A22&gt;=Aannames!$D$24,Aannames!$D$26*(1+Aannames!$D$6)^(A22-Aannames!$D$24),0)</f>
        <v>561.8</v>
      </c>
      <c r="E22" s="22" t="n">
        <f aca="false">C22+D22</f>
        <v>1414.97130405827</v>
      </c>
      <c r="F22" s="22" t="n">
        <f aca="false">E22*Aannames!$D$8</f>
        <v>877.28220851613</v>
      </c>
      <c r="G22" s="23" t="n">
        <f aca="false">CohortBull!P$38</f>
        <v>3267.13408318524</v>
      </c>
      <c r="H22" s="22" t="n">
        <f aca="false">G22*Aannames!$D$9</f>
        <v>130.68536332741</v>
      </c>
      <c r="I22" s="24" t="n">
        <f aca="false">H22*Aannames!$D$10*(1-Aannames!$D$11)</f>
        <v>665.384527381506</v>
      </c>
      <c r="J22" s="25" t="n">
        <f aca="false">MIN(J21*(1-Aannames!$D$18)+IF(A22&gt;=Aannames!$D$14,Aannames!$D$15*Aannames!$D$16,0),(Aannames!$D$19+IF(A22&gt;=Aannames!$D$24,Aannames!$D$25,0))*Aannames!$D$20)</f>
        <v>42.0808673222571</v>
      </c>
      <c r="K22" s="24" t="n">
        <f aca="false">J22*Aannames!$D$17</f>
        <v>2314.44770272414</v>
      </c>
      <c r="L22" s="24" t="n">
        <f aca="false">IF(AND(A22&gt;12,MOD(A22-1,12)=0),Aannames!$D$37,0)</f>
        <v>0</v>
      </c>
      <c r="M22" s="24" t="n">
        <f aca="false">I22+K22+L22</f>
        <v>2979.83223010565</v>
      </c>
      <c r="N22" s="24" t="n">
        <f aca="false">Aannames!$D$28+G22*Aannames!$D$29</f>
        <v>125.342681663705</v>
      </c>
      <c r="O22" s="24" t="n">
        <f aca="false">Aannames!$D$30*(1+IF(A22&gt;=Aannames!$D$24,1,0))</f>
        <v>160</v>
      </c>
      <c r="P22" s="24" t="n">
        <f aca="false">Aannames!$D$31</f>
        <v>70</v>
      </c>
      <c r="Q22" s="24" t="n">
        <f aca="false">IF(MOD(A22-1,12)=0,Aannames!$D$32,0)</f>
        <v>0</v>
      </c>
      <c r="R22" s="24" t="n">
        <f aca="false">Aannames!$D$33+IF(MOD(A22-1,12)=0,Aannames!$D$34,0)</f>
        <v>300</v>
      </c>
      <c r="S22" s="24" t="n">
        <f aca="false">IF(A22=1,Aannames!$D$35,0)</f>
        <v>0</v>
      </c>
      <c r="T22" s="24" t="n">
        <f aca="false">SUM(N22:S22)</f>
        <v>655.342681663705</v>
      </c>
      <c r="U22" s="24" t="n">
        <f aca="false">M22-T22</f>
        <v>2324.48954844194</v>
      </c>
      <c r="V22" s="24" t="n">
        <f aca="false">V21+U22</f>
        <v>15689.1754817999</v>
      </c>
    </row>
    <row r="23" customFormat="false" ht="15" hidden="false" customHeight="false" outlineLevel="0" collapsed="false">
      <c r="A23" s="7" t="n">
        <v>16</v>
      </c>
      <c r="B23" s="7" t="s">
        <v>131</v>
      </c>
      <c r="C23" s="22" t="n">
        <f aca="false">Aannames!$D$5*(1+Aannames!$D$6)^(A23-2)*(1+IF(MOD(A23-1,12)=0,Aannames!$D$7,0))</f>
        <v>904.361582301771</v>
      </c>
      <c r="D23" s="22" t="n">
        <f aca="false">IF(A23&gt;=Aannames!$D$24,Aannames!$D$26*(1+Aannames!$D$6)^(A23-Aannames!$D$24),0)</f>
        <v>595.508</v>
      </c>
      <c r="E23" s="22" t="n">
        <f aca="false">C23+D23</f>
        <v>1499.86958230177</v>
      </c>
      <c r="F23" s="22" t="n">
        <f aca="false">E23*Aannames!$D$8</f>
        <v>929.919141027098</v>
      </c>
      <c r="G23" s="23" t="n">
        <f aca="false">CohortBull!Q$38</f>
        <v>3495.81255406916</v>
      </c>
      <c r="H23" s="22" t="n">
        <f aca="false">G23*Aannames!$D$9</f>
        <v>139.832502162767</v>
      </c>
      <c r="I23" s="24" t="n">
        <f aca="false">H23*Aannames!$D$10*(1-Aannames!$D$11)</f>
        <v>711.957184761726</v>
      </c>
      <c r="J23" s="25" t="n">
        <f aca="false">MIN(J22*(1-Aannames!$D$18)+IF(A23&gt;=Aannames!$D$14,Aannames!$D$15*Aannames!$D$16,0),(Aannames!$D$19+IF(A23&gt;=Aannames!$D$24,Aannames!$D$25,0))*Aannames!$D$20)</f>
        <v>45.9496543124232</v>
      </c>
      <c r="K23" s="24" t="n">
        <f aca="false">J23*Aannames!$D$17</f>
        <v>2527.23098718328</v>
      </c>
      <c r="L23" s="24" t="n">
        <f aca="false">IF(AND(A23&gt;12,MOD(A23-1,12)=0),Aannames!$D$37,0)</f>
        <v>0</v>
      </c>
      <c r="M23" s="24" t="n">
        <f aca="false">I23+K23+L23</f>
        <v>3239.188171945</v>
      </c>
      <c r="N23" s="24" t="n">
        <f aca="false">Aannames!$D$28+G23*Aannames!$D$29</f>
        <v>129.916251081383</v>
      </c>
      <c r="O23" s="24" t="n">
        <f aca="false">Aannames!$D$30*(1+IF(A23&gt;=Aannames!$D$24,1,0))</f>
        <v>160</v>
      </c>
      <c r="P23" s="24" t="n">
        <f aca="false">Aannames!$D$31</f>
        <v>70</v>
      </c>
      <c r="Q23" s="24" t="n">
        <f aca="false">IF(MOD(A23-1,12)=0,Aannames!$D$32,0)</f>
        <v>0</v>
      </c>
      <c r="R23" s="24" t="n">
        <f aca="false">Aannames!$D$33+IF(MOD(A23-1,12)=0,Aannames!$D$34,0)</f>
        <v>300</v>
      </c>
      <c r="S23" s="24" t="n">
        <f aca="false">IF(A23=1,Aannames!$D$35,0)</f>
        <v>0</v>
      </c>
      <c r="T23" s="24" t="n">
        <f aca="false">SUM(N23:S23)</f>
        <v>659.916251081383</v>
      </c>
      <c r="U23" s="24" t="n">
        <f aca="false">M23-T23</f>
        <v>2579.27192086362</v>
      </c>
      <c r="V23" s="24" t="n">
        <f aca="false">V22+U23</f>
        <v>18268.4474026635</v>
      </c>
    </row>
    <row r="24" customFormat="false" ht="15" hidden="false" customHeight="false" outlineLevel="0" collapsed="false">
      <c r="A24" s="7" t="n">
        <v>17</v>
      </c>
      <c r="B24" s="7" t="s">
        <v>132</v>
      </c>
      <c r="C24" s="22" t="n">
        <f aca="false">Aannames!$D$5*(1+Aannames!$D$6)^(A24-2)*(1+IF(MOD(A24-1,12)=0,Aannames!$D$7,0))</f>
        <v>958.623277239877</v>
      </c>
      <c r="D24" s="22" t="n">
        <f aca="false">IF(A24&gt;=Aannames!$D$24,Aannames!$D$26*(1+Aannames!$D$6)^(A24-Aannames!$D$24),0)</f>
        <v>631.23848</v>
      </c>
      <c r="E24" s="22" t="n">
        <f aca="false">C24+D24</f>
        <v>1589.86175723988</v>
      </c>
      <c r="F24" s="22" t="n">
        <f aca="false">E24*Aannames!$D$8</f>
        <v>985.714289488724</v>
      </c>
      <c r="G24" s="23" t="n">
        <f aca="false">CohortBull!R$38</f>
        <v>3765.67885583707</v>
      </c>
      <c r="H24" s="22" t="n">
        <f aca="false">G24*Aannames!$D$9</f>
        <v>150.627154233483</v>
      </c>
      <c r="I24" s="24" t="n">
        <f aca="false">H24*Aannames!$D$10*(1-Aannames!$D$11)</f>
        <v>766.918155779777</v>
      </c>
      <c r="J24" s="25" t="n">
        <f aca="false">MIN(J23*(1-Aannames!$D$18)+IF(A24&gt;=Aannames!$D$14,Aannames!$D$15*Aannames!$D$16,0),(Aannames!$D$19+IF(A24&gt;=Aannames!$D$24,Aannames!$D$25,0))*Aannames!$D$20)</f>
        <v>49.7604094977369</v>
      </c>
      <c r="K24" s="24" t="n">
        <f aca="false">J24*Aannames!$D$17</f>
        <v>2736.82252237553</v>
      </c>
      <c r="L24" s="24" t="n">
        <f aca="false">IF(AND(A24&gt;12,MOD(A24-1,12)=0),Aannames!$D$37,0)</f>
        <v>0</v>
      </c>
      <c r="M24" s="24" t="n">
        <f aca="false">I24+K24+L24</f>
        <v>3503.74067815531</v>
      </c>
      <c r="N24" s="24" t="n">
        <f aca="false">Aannames!$D$28+G24*Aannames!$D$29</f>
        <v>135.313577116741</v>
      </c>
      <c r="O24" s="24" t="n">
        <f aca="false">Aannames!$D$30*(1+IF(A24&gt;=Aannames!$D$24,1,0))</f>
        <v>160</v>
      </c>
      <c r="P24" s="24" t="n">
        <f aca="false">Aannames!$D$31</f>
        <v>70</v>
      </c>
      <c r="Q24" s="24" t="n">
        <f aca="false">IF(MOD(A24-1,12)=0,Aannames!$D$32,0)</f>
        <v>0</v>
      </c>
      <c r="R24" s="24" t="n">
        <f aca="false">Aannames!$D$33+IF(MOD(A24-1,12)=0,Aannames!$D$34,0)</f>
        <v>300</v>
      </c>
      <c r="S24" s="24" t="n">
        <f aca="false">IF(A24=1,Aannames!$D$35,0)</f>
        <v>0</v>
      </c>
      <c r="T24" s="24" t="n">
        <f aca="false">SUM(N24:S24)</f>
        <v>665.313577116741</v>
      </c>
      <c r="U24" s="24" t="n">
        <f aca="false">M24-T24</f>
        <v>2838.42710103856</v>
      </c>
      <c r="V24" s="24" t="n">
        <f aca="false">V23+U24</f>
        <v>21106.8745037021</v>
      </c>
    </row>
    <row r="25" customFormat="false" ht="15" hidden="false" customHeight="false" outlineLevel="0" collapsed="false">
      <c r="A25" s="7" t="n">
        <v>18</v>
      </c>
      <c r="B25" s="7" t="s">
        <v>133</v>
      </c>
      <c r="C25" s="22" t="n">
        <f aca="false">Aannames!$D$5*(1+Aannames!$D$6)^(A25-2)*(1+IF(MOD(A25-1,12)=0,Aannames!$D$7,0))</f>
        <v>1016.14067387427</v>
      </c>
      <c r="D25" s="22" t="n">
        <f aca="false">IF(A25&gt;=Aannames!$D$24,Aannames!$D$26*(1+Aannames!$D$6)^(A25-Aannames!$D$24),0)</f>
        <v>669.1127888</v>
      </c>
      <c r="E25" s="22" t="n">
        <f aca="false">C25+D25</f>
        <v>1685.25346267427</v>
      </c>
      <c r="F25" s="22" t="n">
        <f aca="false">E25*Aannames!$D$8</f>
        <v>1044.85714685805</v>
      </c>
      <c r="G25" s="23" t="n">
        <f aca="false">CohortBull!S$38</f>
        <v>4056.64685502753</v>
      </c>
      <c r="H25" s="22" t="n">
        <f aca="false">G25*Aannames!$D$9</f>
        <v>162.265874201101</v>
      </c>
      <c r="I25" s="24" t="n">
        <f aca="false">H25*Aannames!$D$10*(1-Aannames!$D$11)</f>
        <v>826.176698494907</v>
      </c>
      <c r="J25" s="25" t="n">
        <f aca="false">MIN(J24*(1-Aannames!$D$18)+IF(A25&gt;=Aannames!$D$14,Aannames!$D$15*Aannames!$D$16,0),(Aannames!$D$19+IF(A25&gt;=Aannames!$D$24,Aannames!$D$25,0))*Aannames!$D$20)</f>
        <v>53.5140033552708</v>
      </c>
      <c r="K25" s="24" t="n">
        <f aca="false">J25*Aannames!$D$17</f>
        <v>2943.2701845399</v>
      </c>
      <c r="L25" s="24" t="n">
        <f aca="false">IF(AND(A25&gt;12,MOD(A25-1,12)=0),Aannames!$D$37,0)</f>
        <v>0</v>
      </c>
      <c r="M25" s="24" t="n">
        <f aca="false">I25+K25+L25</f>
        <v>3769.4468830348</v>
      </c>
      <c r="N25" s="24" t="n">
        <f aca="false">Aannames!$D$28+G25*Aannames!$D$29</f>
        <v>141.132937100551</v>
      </c>
      <c r="O25" s="24" t="n">
        <f aca="false">Aannames!$D$30*(1+IF(A25&gt;=Aannames!$D$24,1,0))</f>
        <v>160</v>
      </c>
      <c r="P25" s="24" t="n">
        <f aca="false">Aannames!$D$31</f>
        <v>70</v>
      </c>
      <c r="Q25" s="24" t="n">
        <f aca="false">IF(MOD(A25-1,12)=0,Aannames!$D$32,0)</f>
        <v>0</v>
      </c>
      <c r="R25" s="24" t="n">
        <f aca="false">Aannames!$D$33+IF(MOD(A25-1,12)=0,Aannames!$D$34,0)</f>
        <v>300</v>
      </c>
      <c r="S25" s="24" t="n">
        <f aca="false">IF(A25=1,Aannames!$D$35,0)</f>
        <v>0</v>
      </c>
      <c r="T25" s="24" t="n">
        <f aca="false">SUM(N25:S25)</f>
        <v>671.132937100551</v>
      </c>
      <c r="U25" s="24" t="n">
        <f aca="false">M25-T25</f>
        <v>3098.31394593425</v>
      </c>
      <c r="V25" s="24" t="n">
        <f aca="false">V24+U25</f>
        <v>24205.1884496363</v>
      </c>
    </row>
    <row r="26" customFormat="false" ht="15" hidden="false" customHeight="false" outlineLevel="0" collapsed="false">
      <c r="A26" s="7" t="n">
        <v>19</v>
      </c>
      <c r="B26" s="7" t="s">
        <v>134</v>
      </c>
      <c r="C26" s="22" t="n">
        <f aca="false">Aannames!$D$5*(1+Aannames!$D$6)^(A26-2)*(1+IF(MOD(A26-1,12)=0,Aannames!$D$7,0))</f>
        <v>1077.10911430673</v>
      </c>
      <c r="D26" s="22" t="n">
        <f aca="false">IF(A26&gt;=Aannames!$D$24,Aannames!$D$26*(1+Aannames!$D$6)^(A26-Aannames!$D$24),0)</f>
        <v>709.259556128</v>
      </c>
      <c r="E26" s="22" t="n">
        <f aca="false">C26+D26</f>
        <v>1786.36867043473</v>
      </c>
      <c r="F26" s="22" t="n">
        <f aca="false">E26*Aannames!$D$8</f>
        <v>1107.54857566953</v>
      </c>
      <c r="G26" s="23" t="n">
        <f aca="false">CohortBull!T$38</f>
        <v>4372.3764864222</v>
      </c>
      <c r="H26" s="22" t="n">
        <f aca="false">G26*Aannames!$D$9</f>
        <v>174.895059456888</v>
      </c>
      <c r="I26" s="24" t="n">
        <f aca="false">H26*Aannames!$D$10*(1-Aannames!$D$11)</f>
        <v>890.478195224745</v>
      </c>
      <c r="J26" s="25" t="n">
        <f aca="false">MIN(J25*(1-Aannames!$D$18)+IF(A26&gt;=Aannames!$D$14,Aannames!$D$15*Aannames!$D$16,0),(Aannames!$D$19+IF(A26&gt;=Aannames!$D$24,Aannames!$D$25,0))*Aannames!$D$20)</f>
        <v>57.2112933049418</v>
      </c>
      <c r="K26" s="24" t="n">
        <f aca="false">J26*Aannames!$D$17</f>
        <v>3146.6211317718</v>
      </c>
      <c r="L26" s="24" t="n">
        <f aca="false">IF(AND(A26&gt;12,MOD(A26-1,12)=0),Aannames!$D$37,0)</f>
        <v>0</v>
      </c>
      <c r="M26" s="24" t="n">
        <f aca="false">I26+K26+L26</f>
        <v>4037.09932699654</v>
      </c>
      <c r="N26" s="24" t="n">
        <f aca="false">Aannames!$D$28+G26*Aannames!$D$29</f>
        <v>147.447529728444</v>
      </c>
      <c r="O26" s="24" t="n">
        <f aca="false">Aannames!$D$30*(1+IF(A26&gt;=Aannames!$D$24,1,0))</f>
        <v>160</v>
      </c>
      <c r="P26" s="24" t="n">
        <f aca="false">Aannames!$D$31</f>
        <v>70</v>
      </c>
      <c r="Q26" s="24" t="n">
        <f aca="false">IF(MOD(A26-1,12)=0,Aannames!$D$32,0)</f>
        <v>0</v>
      </c>
      <c r="R26" s="24" t="n">
        <f aca="false">Aannames!$D$33+IF(MOD(A26-1,12)=0,Aannames!$D$34,0)</f>
        <v>300</v>
      </c>
      <c r="S26" s="24" t="n">
        <f aca="false">IF(A26=1,Aannames!$D$35,0)</f>
        <v>0</v>
      </c>
      <c r="T26" s="24" t="n">
        <f aca="false">SUM(N26:S26)</f>
        <v>677.447529728444</v>
      </c>
      <c r="U26" s="24" t="n">
        <f aca="false">M26-T26</f>
        <v>3359.6517972681</v>
      </c>
      <c r="V26" s="24" t="n">
        <f aca="false">V25+U26</f>
        <v>27564.8402469044</v>
      </c>
    </row>
    <row r="27" customFormat="false" ht="15" hidden="false" customHeight="false" outlineLevel="0" collapsed="false">
      <c r="A27" s="7" t="n">
        <v>20</v>
      </c>
      <c r="B27" s="7" t="s">
        <v>135</v>
      </c>
      <c r="C27" s="22" t="n">
        <f aca="false">Aannames!$D$5*(1+Aannames!$D$6)^(A27-2)*(1+IF(MOD(A27-1,12)=0,Aannames!$D$7,0))</f>
        <v>1141.73566116513</v>
      </c>
      <c r="D27" s="22" t="n">
        <f aca="false">IF(A27&gt;=Aannames!$D$24,Aannames!$D$26*(1+Aannames!$D$6)^(A27-Aannames!$D$24),0)</f>
        <v>751.81512949568</v>
      </c>
      <c r="E27" s="22" t="n">
        <f aca="false">C27+D27</f>
        <v>1893.55079066081</v>
      </c>
      <c r="F27" s="22" t="n">
        <f aca="false">E27*Aannames!$D$8</f>
        <v>1174.0014902097</v>
      </c>
      <c r="G27" s="23" t="n">
        <f aca="false">CohortBull!U$38</f>
        <v>4709.31255535879</v>
      </c>
      <c r="H27" s="22" t="n">
        <f aca="false">G27*Aannames!$D$9</f>
        <v>188.372502214352</v>
      </c>
      <c r="I27" s="24" t="n">
        <f aca="false">H27*Aannames!$D$10*(1-Aannames!$D$11)</f>
        <v>959.098595024372</v>
      </c>
      <c r="J27" s="25" t="n">
        <f aca="false">MIN(J26*(1-Aannames!$D$18)+IF(A27&gt;=Aannames!$D$14,Aannames!$D$15*Aannames!$D$16,0),(Aannames!$D$19+IF(A27&gt;=Aannames!$D$24,Aannames!$D$25,0))*Aannames!$D$20)</f>
        <v>60.8531239053676</v>
      </c>
      <c r="K27" s="24" t="n">
        <f aca="false">J27*Aannames!$D$17</f>
        <v>3346.92181479522</v>
      </c>
      <c r="L27" s="24" t="n">
        <f aca="false">IF(AND(A27&gt;12,MOD(A27-1,12)=0),Aannames!$D$37,0)</f>
        <v>0</v>
      </c>
      <c r="M27" s="24" t="n">
        <f aca="false">I27+K27+L27</f>
        <v>4306.02040981959</v>
      </c>
      <c r="N27" s="24" t="n">
        <f aca="false">Aannames!$D$28+G27*Aannames!$D$29</f>
        <v>154.186251107176</v>
      </c>
      <c r="O27" s="24" t="n">
        <f aca="false">Aannames!$D$30*(1+IF(A27&gt;=Aannames!$D$24,1,0))</f>
        <v>160</v>
      </c>
      <c r="P27" s="24" t="n">
        <f aca="false">Aannames!$D$31</f>
        <v>70</v>
      </c>
      <c r="Q27" s="24" t="n">
        <f aca="false">IF(MOD(A27-1,12)=0,Aannames!$D$32,0)</f>
        <v>0</v>
      </c>
      <c r="R27" s="24" t="n">
        <f aca="false">Aannames!$D$33+IF(MOD(A27-1,12)=0,Aannames!$D$34,0)</f>
        <v>300</v>
      </c>
      <c r="S27" s="24" t="n">
        <f aca="false">IF(A27=1,Aannames!$D$35,0)</f>
        <v>0</v>
      </c>
      <c r="T27" s="24" t="n">
        <f aca="false">SUM(N27:S27)</f>
        <v>684.186251107176</v>
      </c>
      <c r="U27" s="24" t="n">
        <f aca="false">M27-T27</f>
        <v>3621.83415871242</v>
      </c>
      <c r="V27" s="24" t="n">
        <f aca="false">V26+U27</f>
        <v>31186.6744056168</v>
      </c>
    </row>
    <row r="28" customFormat="false" ht="15" hidden="false" customHeight="false" outlineLevel="0" collapsed="false">
      <c r="A28" s="7" t="n">
        <v>21</v>
      </c>
      <c r="B28" s="7" t="s">
        <v>136</v>
      </c>
      <c r="C28" s="22" t="n">
        <f aca="false">Aannames!$D$5*(1+Aannames!$D$6)^(A28-2)*(1+IF(MOD(A28-1,12)=0,Aannames!$D$7,0))</f>
        <v>1210.23980083504</v>
      </c>
      <c r="D28" s="22" t="n">
        <f aca="false">IF(A28&gt;=Aannames!$D$24,Aannames!$D$26*(1+Aannames!$D$6)^(A28-Aannames!$D$24),0)</f>
        <v>796.924037265421</v>
      </c>
      <c r="E28" s="22" t="n">
        <f aca="false">C28+D28</f>
        <v>2007.16383810046</v>
      </c>
      <c r="F28" s="22" t="n">
        <f aca="false">E28*Aannames!$D$8</f>
        <v>1244.44157962228</v>
      </c>
      <c r="G28" s="23" t="n">
        <f aca="false">CohortBull!V$38</f>
        <v>5069.92436455797</v>
      </c>
      <c r="H28" s="22" t="n">
        <f aca="false">G28*Aannames!$D$9</f>
        <v>202.796974582319</v>
      </c>
      <c r="I28" s="24" t="n">
        <f aca="false">H28*Aannames!$D$10*(1-Aannames!$D$11)</f>
        <v>1032.54079608588</v>
      </c>
      <c r="J28" s="25" t="n">
        <f aca="false">MIN(J27*(1-Aannames!$D$18)+IF(A28&gt;=Aannames!$D$14,Aannames!$D$15*Aannames!$D$16,0),(Aannames!$D$19+IF(A28&gt;=Aannames!$D$24,Aannames!$D$25,0))*Aannames!$D$20)</f>
        <v>64.4403270467871</v>
      </c>
      <c r="K28" s="24" t="n">
        <f aca="false">J28*Aannames!$D$17</f>
        <v>3544.21798757329</v>
      </c>
      <c r="L28" s="24" t="n">
        <f aca="false">IF(AND(A28&gt;12,MOD(A28-1,12)=0),Aannames!$D$37,0)</f>
        <v>0</v>
      </c>
      <c r="M28" s="24" t="n">
        <f aca="false">I28+K28+L28</f>
        <v>4576.75878365917</v>
      </c>
      <c r="N28" s="24" t="n">
        <f aca="false">Aannames!$D$28+G28*Aannames!$D$29</f>
        <v>161.398487291159</v>
      </c>
      <c r="O28" s="24" t="n">
        <f aca="false">Aannames!$D$30*(1+IF(A28&gt;=Aannames!$D$24,1,0))</f>
        <v>160</v>
      </c>
      <c r="P28" s="24" t="n">
        <f aca="false">Aannames!$D$31</f>
        <v>70</v>
      </c>
      <c r="Q28" s="24" t="n">
        <f aca="false">IF(MOD(A28-1,12)=0,Aannames!$D$32,0)</f>
        <v>0</v>
      </c>
      <c r="R28" s="24" t="n">
        <f aca="false">Aannames!$D$33+IF(MOD(A28-1,12)=0,Aannames!$D$34,0)</f>
        <v>300</v>
      </c>
      <c r="S28" s="24" t="n">
        <f aca="false">IF(A28=1,Aannames!$D$35,0)</f>
        <v>0</v>
      </c>
      <c r="T28" s="24" t="n">
        <f aca="false">SUM(N28:S28)</f>
        <v>691.398487291159</v>
      </c>
      <c r="U28" s="24" t="n">
        <f aca="false">M28-T28</f>
        <v>3885.36029636801</v>
      </c>
      <c r="V28" s="24" t="n">
        <f aca="false">V27+U28</f>
        <v>35072.0347019848</v>
      </c>
    </row>
    <row r="29" customFormat="false" ht="15" hidden="false" customHeight="false" outlineLevel="0" collapsed="false">
      <c r="A29" s="7" t="n">
        <v>22</v>
      </c>
      <c r="B29" s="7" t="s">
        <v>137</v>
      </c>
      <c r="C29" s="22" t="n">
        <f aca="false">Aannames!$D$5*(1+Aannames!$D$6)^(A29-2)*(1+IF(MOD(A29-1,12)=0,Aannames!$D$7,0))</f>
        <v>1282.85418888514</v>
      </c>
      <c r="D29" s="22" t="n">
        <f aca="false">IF(A29&gt;=Aannames!$D$24,Aannames!$D$26*(1+Aannames!$D$6)^(A29-Aannames!$D$24),0)</f>
        <v>844.739479501346</v>
      </c>
      <c r="E29" s="22" t="n">
        <f aca="false">C29+D29</f>
        <v>2127.59366838649</v>
      </c>
      <c r="F29" s="22" t="n">
        <f aca="false">E29*Aannames!$D$8</f>
        <v>1319.10807439962</v>
      </c>
      <c r="G29" s="23" t="n">
        <f aca="false">CohortBull!W$38</f>
        <v>5449.3946493728</v>
      </c>
      <c r="H29" s="22" t="n">
        <f aca="false">G29*Aannames!$D$9</f>
        <v>217.975785974912</v>
      </c>
      <c r="I29" s="24" t="n">
        <f aca="false">H29*Aannames!$D$10*(1-Aannames!$D$11)</f>
        <v>1109.82371429126</v>
      </c>
      <c r="J29" s="25" t="n">
        <f aca="false">MIN(J28*(1-Aannames!$D$18)+IF(A29&gt;=Aannames!$D$14,Aannames!$D$15*Aannames!$D$16,0),(Aannames!$D$19+IF(A29&gt;=Aannames!$D$24,Aannames!$D$25,0))*Aannames!$D$20)</f>
        <v>67.9737221410853</v>
      </c>
      <c r="K29" s="24" t="n">
        <f aca="false">J29*Aannames!$D$17</f>
        <v>3738.55471775969</v>
      </c>
      <c r="L29" s="24" t="n">
        <f aca="false">IF(AND(A29&gt;12,MOD(A29-1,12)=0),Aannames!$D$37,0)</f>
        <v>0</v>
      </c>
      <c r="M29" s="24" t="n">
        <f aca="false">I29+K29+L29</f>
        <v>4848.37843205096</v>
      </c>
      <c r="N29" s="24" t="n">
        <f aca="false">Aannames!$D$28+G29*Aannames!$D$29</f>
        <v>168.987892987456</v>
      </c>
      <c r="O29" s="24" t="n">
        <f aca="false">Aannames!$D$30*(1+IF(A29&gt;=Aannames!$D$24,1,0))</f>
        <v>160</v>
      </c>
      <c r="P29" s="24" t="n">
        <f aca="false">Aannames!$D$31</f>
        <v>70</v>
      </c>
      <c r="Q29" s="24" t="n">
        <f aca="false">IF(MOD(A29-1,12)=0,Aannames!$D$32,0)</f>
        <v>0</v>
      </c>
      <c r="R29" s="24" t="n">
        <f aca="false">Aannames!$D$33+IF(MOD(A29-1,12)=0,Aannames!$D$34,0)</f>
        <v>300</v>
      </c>
      <c r="S29" s="24" t="n">
        <f aca="false">IF(A29=1,Aannames!$D$35,0)</f>
        <v>0</v>
      </c>
      <c r="T29" s="24" t="n">
        <f aca="false">SUM(N29:S29)</f>
        <v>698.987892987456</v>
      </c>
      <c r="U29" s="24" t="n">
        <f aca="false">M29-T29</f>
        <v>4149.3905390635</v>
      </c>
      <c r="V29" s="24" t="n">
        <f aca="false">V28+U29</f>
        <v>39221.4252410483</v>
      </c>
    </row>
    <row r="30" customFormat="false" ht="15" hidden="false" customHeight="false" outlineLevel="0" collapsed="false">
      <c r="A30" s="7" t="n">
        <v>23</v>
      </c>
      <c r="B30" s="7" t="s">
        <v>138</v>
      </c>
      <c r="C30" s="22" t="n">
        <f aca="false">Aannames!$D$5*(1+Aannames!$D$6)^(A30-2)*(1+IF(MOD(A30-1,12)=0,Aannames!$D$7,0))</f>
        <v>1359.82544021825</v>
      </c>
      <c r="D30" s="22" t="n">
        <f aca="false">IF(A30&gt;=Aannames!$D$24,Aannames!$D$26*(1+Aannames!$D$6)^(A30-Aannames!$D$24),0)</f>
        <v>895.423848271427</v>
      </c>
      <c r="E30" s="22" t="n">
        <f aca="false">C30+D30</f>
        <v>2255.24928848968</v>
      </c>
      <c r="F30" s="22" t="n">
        <f aca="false">E30*Aannames!$D$8</f>
        <v>1398.2545588636</v>
      </c>
      <c r="G30" s="23" t="n">
        <f aca="false">CohortBull!X$38</f>
        <v>5849.78491834022</v>
      </c>
      <c r="H30" s="22" t="n">
        <f aca="false">G30*Aannames!$D$9</f>
        <v>233.991396733609</v>
      </c>
      <c r="I30" s="24" t="n">
        <f aca="false">H30*Aannames!$D$10*(1-Aannames!$D$11)</f>
        <v>1191.36719646917</v>
      </c>
      <c r="J30" s="25" t="n">
        <f aca="false">MIN(J29*(1-Aannames!$D$18)+IF(A30&gt;=Aannames!$D$14,Aannames!$D$15*Aannames!$D$16,0),(Aannames!$D$19+IF(A30&gt;=Aannames!$D$24,Aannames!$D$25,0))*Aannames!$D$20)</f>
        <v>71.454116308969</v>
      </c>
      <c r="K30" s="24" t="n">
        <f aca="false">J30*Aannames!$D$17</f>
        <v>3929.9763969933</v>
      </c>
      <c r="L30" s="24" t="n">
        <f aca="false">IF(AND(A30&gt;12,MOD(A30-1,12)=0),Aannames!$D$37,0)</f>
        <v>0</v>
      </c>
      <c r="M30" s="24" t="n">
        <f aca="false">I30+K30+L30</f>
        <v>5121.34359346247</v>
      </c>
      <c r="N30" s="24" t="n">
        <f aca="false">Aannames!$D$28+G30*Aannames!$D$29</f>
        <v>176.995698366805</v>
      </c>
      <c r="O30" s="24" t="n">
        <f aca="false">Aannames!$D$30*(1+IF(A30&gt;=Aannames!$D$24,1,0))</f>
        <v>160</v>
      </c>
      <c r="P30" s="24" t="n">
        <f aca="false">Aannames!$D$31</f>
        <v>70</v>
      </c>
      <c r="Q30" s="24" t="n">
        <f aca="false">IF(MOD(A30-1,12)=0,Aannames!$D$32,0)</f>
        <v>0</v>
      </c>
      <c r="R30" s="24" t="n">
        <f aca="false">Aannames!$D$33+IF(MOD(A30-1,12)=0,Aannames!$D$34,0)</f>
        <v>300</v>
      </c>
      <c r="S30" s="24" t="n">
        <f aca="false">IF(A30=1,Aannames!$D$35,0)</f>
        <v>0</v>
      </c>
      <c r="T30" s="24" t="n">
        <f aca="false">SUM(N30:S30)</f>
        <v>706.995698366805</v>
      </c>
      <c r="U30" s="24" t="n">
        <f aca="false">M30-T30</f>
        <v>4414.34789509566</v>
      </c>
      <c r="V30" s="24" t="n">
        <f aca="false">V29+U30</f>
        <v>43635.773136144</v>
      </c>
    </row>
    <row r="31" customFormat="false" ht="15" hidden="false" customHeight="false" outlineLevel="0" collapsed="false">
      <c r="A31" s="7" t="n">
        <v>24</v>
      </c>
      <c r="B31" s="7" t="s">
        <v>139</v>
      </c>
      <c r="C31" s="22" t="n">
        <f aca="false">Aannames!$D$5*(1+Aannames!$D$6)^(A31-2)*(1+IF(MOD(A31-1,12)=0,Aannames!$D$7,0))</f>
        <v>1441.41496663134</v>
      </c>
      <c r="D31" s="22" t="n">
        <f aca="false">IF(A31&gt;=Aannames!$D$24,Aannames!$D$26*(1+Aannames!$D$6)^(A31-Aannames!$D$24),0)</f>
        <v>949.149279167713</v>
      </c>
      <c r="E31" s="22" t="n">
        <f aca="false">C31+D31</f>
        <v>2390.56424579906</v>
      </c>
      <c r="F31" s="22" t="n">
        <f aca="false">E31*Aannames!$D$8</f>
        <v>1482.14983239541</v>
      </c>
      <c r="G31" s="23" t="n">
        <f aca="false">CohortBull!Y$38</f>
        <v>6279.04729604023</v>
      </c>
      <c r="H31" s="22" t="n">
        <f aca="false">G31*Aannames!$D$9</f>
        <v>251.161891841609</v>
      </c>
      <c r="I31" s="24" t="n">
        <f aca="false">H31*Aannames!$D$10*(1-Aannames!$D$11)</f>
        <v>1278.79077231155</v>
      </c>
      <c r="J31" s="25" t="n">
        <f aca="false">MIN(J30*(1-Aannames!$D$18)+IF(A31&gt;=Aannames!$D$14,Aannames!$D$15*Aannames!$D$16,0),(Aannames!$D$19+IF(A31&gt;=Aannames!$D$24,Aannames!$D$25,0))*Aannames!$D$20)</f>
        <v>74.8823045643345</v>
      </c>
      <c r="K31" s="24" t="n">
        <f aca="false">J31*Aannames!$D$17</f>
        <v>4118.5267510384</v>
      </c>
      <c r="L31" s="24" t="n">
        <f aca="false">IF(AND(A31&gt;12,MOD(A31-1,12)=0),Aannames!$D$37,0)</f>
        <v>0</v>
      </c>
      <c r="M31" s="24" t="n">
        <f aca="false">I31+K31+L31</f>
        <v>5397.31752334995</v>
      </c>
      <c r="N31" s="24" t="n">
        <f aca="false">Aannames!$D$28+G31*Aannames!$D$29</f>
        <v>185.580945920805</v>
      </c>
      <c r="O31" s="24" t="n">
        <f aca="false">Aannames!$D$30*(1+IF(A31&gt;=Aannames!$D$24,1,0))</f>
        <v>160</v>
      </c>
      <c r="P31" s="24" t="n">
        <f aca="false">Aannames!$D$31</f>
        <v>70</v>
      </c>
      <c r="Q31" s="24" t="n">
        <f aca="false">IF(MOD(A31-1,12)=0,Aannames!$D$32,0)</f>
        <v>0</v>
      </c>
      <c r="R31" s="24" t="n">
        <f aca="false">Aannames!$D$33+IF(MOD(A31-1,12)=0,Aannames!$D$34,0)</f>
        <v>300</v>
      </c>
      <c r="S31" s="24" t="n">
        <f aca="false">IF(A31=1,Aannames!$D$35,0)</f>
        <v>0</v>
      </c>
      <c r="T31" s="24" t="n">
        <f aca="false">SUM(N31:S31)</f>
        <v>715.580945920805</v>
      </c>
      <c r="U31" s="24" t="n">
        <f aca="false">M31-T31</f>
        <v>4681.73657742915</v>
      </c>
      <c r="V31" s="24" t="n">
        <f aca="false">V30+U31</f>
        <v>48317.5097135731</v>
      </c>
    </row>
    <row r="32" customFormat="false" ht="15" hidden="false" customHeight="false" outlineLevel="0" collapsed="false">
      <c r="A32" s="7" t="n">
        <v>25</v>
      </c>
      <c r="B32" s="7" t="s">
        <v>140</v>
      </c>
      <c r="C32" s="22" t="n">
        <f aca="false">Aannames!$D$5*(1+Aannames!$D$6)^(A32-2)*(1+IF(MOD(A32-1,12)=0,Aannames!$D$7,0))</f>
        <v>5347.64952620228</v>
      </c>
      <c r="D32" s="22" t="n">
        <f aca="false">IF(A32&gt;=Aannames!$D$24,Aannames!$D$26*(1+Aannames!$D$6)^(A32-Aannames!$D$24),0)</f>
        <v>1006.09823591778</v>
      </c>
      <c r="E32" s="22" t="n">
        <f aca="false">C32+D32</f>
        <v>6353.74776212006</v>
      </c>
      <c r="F32" s="22" t="n">
        <f aca="false">E32*Aannames!$D$8</f>
        <v>3939.32361251444</v>
      </c>
      <c r="G32" s="23" t="n">
        <f aca="false">CohortBull!Z$38</f>
        <v>9100.92109010939</v>
      </c>
      <c r="H32" s="22" t="n">
        <f aca="false">G32*Aannames!$D$9</f>
        <v>364.036843604375</v>
      </c>
      <c r="I32" s="24" t="n">
        <f aca="false">H32*Aannames!$D$10*(1-Aannames!$D$11)</f>
        <v>1853.49358921168</v>
      </c>
      <c r="J32" s="25" t="n">
        <f aca="false">MIN(J31*(1-Aannames!$D$18)+IF(A32&gt;=Aannames!$D$14,Aannames!$D$15*Aannames!$D$16,0),(Aannames!$D$19+IF(A32&gt;=Aannames!$D$24,Aannames!$D$25,0))*Aannames!$D$20)</f>
        <v>78.2590699958695</v>
      </c>
      <c r="K32" s="24" t="n">
        <f aca="false">J32*Aannames!$D$17</f>
        <v>4304.24884977282</v>
      </c>
      <c r="L32" s="24" t="n">
        <f aca="false">IF(AND(A32&gt;12,MOD(A32-1,12)=0),Aannames!$D$37,0)</f>
        <v>10000</v>
      </c>
      <c r="M32" s="24" t="n">
        <f aca="false">I32+K32+L32</f>
        <v>16157.7424389845</v>
      </c>
      <c r="N32" s="24" t="n">
        <f aca="false">Aannames!$D$28+G32*Aannames!$D$29</f>
        <v>242.018421802188</v>
      </c>
      <c r="O32" s="24" t="n">
        <f aca="false">Aannames!$D$30*(1+IF(A32&gt;=Aannames!$D$24,1,0))</f>
        <v>160</v>
      </c>
      <c r="P32" s="24" t="n">
        <f aca="false">Aannames!$D$31</f>
        <v>70</v>
      </c>
      <c r="Q32" s="24" t="n">
        <f aca="false">IF(MOD(A32-1,12)=0,Aannames!$D$32,0)</f>
        <v>150</v>
      </c>
      <c r="R32" s="24" t="n">
        <f aca="false">Aannames!$D$33+IF(MOD(A32-1,12)=0,Aannames!$D$34,0)</f>
        <v>1800</v>
      </c>
      <c r="S32" s="24" t="n">
        <f aca="false">IF(A32=1,Aannames!$D$35,0)</f>
        <v>0</v>
      </c>
      <c r="T32" s="24" t="n">
        <f aca="false">SUM(N32:S32)</f>
        <v>2422.01842180219</v>
      </c>
      <c r="U32" s="24" t="n">
        <f aca="false">M32-T32</f>
        <v>13735.7240171823</v>
      </c>
      <c r="V32" s="24" t="n">
        <f aca="false">V31+U32</f>
        <v>62053.2337307555</v>
      </c>
    </row>
    <row r="33" customFormat="false" ht="15" hidden="false" customHeight="false" outlineLevel="0" collapsed="false">
      <c r="A33" s="7" t="n">
        <v>26</v>
      </c>
      <c r="B33" s="7" t="s">
        <v>141</v>
      </c>
      <c r="C33" s="22" t="n">
        <f aca="false">Aannames!$D$5*(1+Aannames!$D$6)^(A33-2)*(1+IF(MOD(A33-1,12)=0,Aannames!$D$7,0))</f>
        <v>1619.57385650698</v>
      </c>
      <c r="D33" s="22" t="n">
        <f aca="false">IF(A33&gt;=Aannames!$D$24,Aannames!$D$26*(1+Aannames!$D$6)^(A33-Aannames!$D$24),0)</f>
        <v>1066.46413007284</v>
      </c>
      <c r="E33" s="22" t="n">
        <f aca="false">C33+D33</f>
        <v>2686.03798657982</v>
      </c>
      <c r="F33" s="22" t="n">
        <f aca="false">E33*Aannames!$D$8</f>
        <v>1665.34355167949</v>
      </c>
      <c r="G33" s="23" t="n">
        <f aca="false">CohortBull!AA$38</f>
        <v>8443.62121848458</v>
      </c>
      <c r="H33" s="22" t="n">
        <f aca="false">G33*Aannames!$D$9</f>
        <v>337.744848739383</v>
      </c>
      <c r="I33" s="24" t="n">
        <f aca="false">H33*Aannames!$D$10*(1-Aannames!$D$11)</f>
        <v>1719.62789735657</v>
      </c>
      <c r="J33" s="25" t="n">
        <f aca="false">MIN(J32*(1-Aannames!$D$18)+IF(A33&gt;=Aannames!$D$14,Aannames!$D$15*Aannames!$D$16,0),(Aannames!$D$19+IF(A33&gt;=Aannames!$D$24,Aannames!$D$25,0))*Aannames!$D$20)</f>
        <v>81.5851839459314</v>
      </c>
      <c r="K33" s="24" t="n">
        <f aca="false">J33*Aannames!$D$17</f>
        <v>4487.18511702623</v>
      </c>
      <c r="L33" s="24" t="n">
        <f aca="false">IF(AND(A33&gt;12,MOD(A33-1,12)=0),Aannames!$D$37,0)</f>
        <v>0</v>
      </c>
      <c r="M33" s="24" t="n">
        <f aca="false">I33+K33+L33</f>
        <v>6206.8130143828</v>
      </c>
      <c r="N33" s="24" t="n">
        <f aca="false">Aannames!$D$28+G33*Aannames!$D$29</f>
        <v>228.872424369692</v>
      </c>
      <c r="O33" s="24" t="n">
        <f aca="false">Aannames!$D$30*(1+IF(A33&gt;=Aannames!$D$24,1,0))</f>
        <v>160</v>
      </c>
      <c r="P33" s="24" t="n">
        <f aca="false">Aannames!$D$31</f>
        <v>70</v>
      </c>
      <c r="Q33" s="24" t="n">
        <f aca="false">IF(MOD(A33-1,12)=0,Aannames!$D$32,0)</f>
        <v>0</v>
      </c>
      <c r="R33" s="24" t="n">
        <f aca="false">Aannames!$D$33+IF(MOD(A33-1,12)=0,Aannames!$D$34,0)</f>
        <v>300</v>
      </c>
      <c r="S33" s="24" t="n">
        <f aca="false">IF(A33=1,Aannames!$D$35,0)</f>
        <v>0</v>
      </c>
      <c r="T33" s="24" t="n">
        <f aca="false">SUM(N33:S33)</f>
        <v>758.872424369692</v>
      </c>
      <c r="U33" s="24" t="n">
        <f aca="false">M33-T33</f>
        <v>5447.94059001311</v>
      </c>
      <c r="V33" s="24" t="n">
        <f aca="false">V32+U33</f>
        <v>67501.1743207686</v>
      </c>
    </row>
    <row r="34" customFormat="false" ht="15" hidden="false" customHeight="false" outlineLevel="0" collapsed="false">
      <c r="A34" s="7" t="n">
        <v>27</v>
      </c>
      <c r="B34" s="7" t="s">
        <v>142</v>
      </c>
      <c r="C34" s="22" t="n">
        <f aca="false">Aannames!$D$5*(1+Aannames!$D$6)^(A34-2)*(1+IF(MOD(A34-1,12)=0,Aannames!$D$7,0))</f>
        <v>1716.7482878974</v>
      </c>
      <c r="D34" s="22" t="n">
        <f aca="false">IF(A34&gt;=Aannames!$D$24,Aannames!$D$26*(1+Aannames!$D$6)^(A34-Aannames!$D$24),0)</f>
        <v>1130.45197787721</v>
      </c>
      <c r="E34" s="22" t="n">
        <f aca="false">C34+D34</f>
        <v>2847.20026577461</v>
      </c>
      <c r="F34" s="22" t="n">
        <f aca="false">E34*Aannames!$D$8</f>
        <v>1765.26416478026</v>
      </c>
      <c r="G34" s="23" t="n">
        <f aca="false">CohortBull!AB$38</f>
        <v>8718.09354363631</v>
      </c>
      <c r="H34" s="22" t="n">
        <f aca="false">G34*Aannames!$D$9</f>
        <v>348.723741745452</v>
      </c>
      <c r="I34" s="24" t="n">
        <f aca="false">H34*Aannames!$D$10*(1-Aannames!$D$11)</f>
        <v>1775.52693109697</v>
      </c>
      <c r="J34" s="25" t="n">
        <f aca="false">MIN(J33*(1-Aannames!$D$18)+IF(A34&gt;=Aannames!$D$14,Aannames!$D$15*Aannames!$D$16,0),(Aannames!$D$19+IF(A34&gt;=Aannames!$D$24,Aannames!$D$25,0))*Aannames!$D$20)</f>
        <v>84.8614061867425</v>
      </c>
      <c r="K34" s="24" t="n">
        <f aca="false">J34*Aannames!$D$17</f>
        <v>4667.37734027084</v>
      </c>
      <c r="L34" s="24" t="n">
        <f aca="false">IF(AND(A34&gt;12,MOD(A34-1,12)=0),Aannames!$D$37,0)</f>
        <v>0</v>
      </c>
      <c r="M34" s="24" t="n">
        <f aca="false">I34+K34+L34</f>
        <v>6442.90427136781</v>
      </c>
      <c r="N34" s="24" t="n">
        <f aca="false">Aannames!$D$28+G34*Aannames!$D$29</f>
        <v>234.361870872726</v>
      </c>
      <c r="O34" s="24" t="n">
        <f aca="false">Aannames!$D$30*(1+IF(A34&gt;=Aannames!$D$24,1,0))</f>
        <v>160</v>
      </c>
      <c r="P34" s="24" t="n">
        <f aca="false">Aannames!$D$31</f>
        <v>70</v>
      </c>
      <c r="Q34" s="24" t="n">
        <f aca="false">IF(MOD(A34-1,12)=0,Aannames!$D$32,0)</f>
        <v>0</v>
      </c>
      <c r="R34" s="24" t="n">
        <f aca="false">Aannames!$D$33+IF(MOD(A34-1,12)=0,Aannames!$D$34,0)</f>
        <v>300</v>
      </c>
      <c r="S34" s="24" t="n">
        <f aca="false">IF(A34=1,Aannames!$D$35,0)</f>
        <v>0</v>
      </c>
      <c r="T34" s="24" t="n">
        <f aca="false">SUM(N34:S34)</f>
        <v>764.361870872726</v>
      </c>
      <c r="U34" s="24" t="n">
        <f aca="false">M34-T34</f>
        <v>5678.54240049508</v>
      </c>
      <c r="V34" s="24" t="n">
        <f aca="false">V33+U34</f>
        <v>73179.7167212636</v>
      </c>
    </row>
    <row r="35" customFormat="false" ht="15" hidden="false" customHeight="false" outlineLevel="0" collapsed="false">
      <c r="A35" s="7" t="n">
        <v>28</v>
      </c>
      <c r="B35" s="7" t="s">
        <v>143</v>
      </c>
      <c r="C35" s="22" t="n">
        <f aca="false">Aannames!$D$5*(1+Aannames!$D$6)^(A35-2)*(1+IF(MOD(A35-1,12)=0,Aannames!$D$7,0))</f>
        <v>1819.75318517124</v>
      </c>
      <c r="D35" s="22" t="n">
        <f aca="false">IF(A35&gt;=Aannames!$D$24,Aannames!$D$26*(1+Aannames!$D$6)^(A35-Aannames!$D$24),0)</f>
        <v>1198.27909654985</v>
      </c>
      <c r="E35" s="22" t="n">
        <f aca="false">C35+D35</f>
        <v>3018.03228172108</v>
      </c>
      <c r="F35" s="22" t="n">
        <f aca="false">E35*Aannames!$D$8</f>
        <v>1871.18001466707</v>
      </c>
      <c r="G35" s="23" t="n">
        <f aca="false">CohortBull!AC$38</f>
        <v>9093.62005415619</v>
      </c>
      <c r="H35" s="22" t="n">
        <f aca="false">G35*Aannames!$D$9</f>
        <v>363.744802166248</v>
      </c>
      <c r="I35" s="24" t="n">
        <f aca="false">H35*Aannames!$D$10*(1-Aannames!$D$11)</f>
        <v>1852.00666022945</v>
      </c>
      <c r="J35" s="25" t="n">
        <f aca="false">MIN(J34*(1-Aannames!$D$18)+IF(A35&gt;=Aannames!$D$14,Aannames!$D$15*Aannames!$D$16,0),(Aannames!$D$19+IF(A35&gt;=Aannames!$D$24,Aannames!$D$25,0))*Aannames!$D$20)</f>
        <v>88.0884850939413</v>
      </c>
      <c r="K35" s="24" t="n">
        <f aca="false">J35*Aannames!$D$17</f>
        <v>4844.86668016677</v>
      </c>
      <c r="L35" s="24" t="n">
        <f aca="false">IF(AND(A35&gt;12,MOD(A35-1,12)=0),Aannames!$D$37,0)</f>
        <v>0</v>
      </c>
      <c r="M35" s="24" t="n">
        <f aca="false">I35+K35+L35</f>
        <v>6696.87334039622</v>
      </c>
      <c r="N35" s="24" t="n">
        <f aca="false">Aannames!$D$28+G35*Aannames!$D$29</f>
        <v>241.872401083124</v>
      </c>
      <c r="O35" s="24" t="n">
        <f aca="false">Aannames!$D$30*(1+IF(A35&gt;=Aannames!$D$24,1,0))</f>
        <v>160</v>
      </c>
      <c r="P35" s="24" t="n">
        <f aca="false">Aannames!$D$31</f>
        <v>70</v>
      </c>
      <c r="Q35" s="24" t="n">
        <f aca="false">IF(MOD(A35-1,12)=0,Aannames!$D$32,0)</f>
        <v>0</v>
      </c>
      <c r="R35" s="24" t="n">
        <f aca="false">Aannames!$D$33+IF(MOD(A35-1,12)=0,Aannames!$D$34,0)</f>
        <v>300</v>
      </c>
      <c r="S35" s="24" t="n">
        <f aca="false">IF(A35=1,Aannames!$D$35,0)</f>
        <v>0</v>
      </c>
      <c r="T35" s="24" t="n">
        <f aca="false">SUM(N35:S35)</f>
        <v>771.872401083124</v>
      </c>
      <c r="U35" s="24" t="n">
        <f aca="false">M35-T35</f>
        <v>5925.0009393131</v>
      </c>
      <c r="V35" s="24" t="n">
        <f aca="false">V34+U35</f>
        <v>79104.7176605768</v>
      </c>
    </row>
    <row r="36" customFormat="false" ht="15" hidden="false" customHeight="false" outlineLevel="0" collapsed="false">
      <c r="A36" s="7" t="n">
        <v>29</v>
      </c>
      <c r="B36" s="7" t="s">
        <v>144</v>
      </c>
      <c r="C36" s="22" t="n">
        <f aca="false">Aannames!$D$5*(1+Aannames!$D$6)^(A36-2)*(1+IF(MOD(A36-1,12)=0,Aannames!$D$7,0))</f>
        <v>1928.93837628151</v>
      </c>
      <c r="D36" s="22" t="n">
        <f aca="false">IF(A36&gt;=Aannames!$D$24,Aannames!$D$26*(1+Aannames!$D$6)^(A36-Aannames!$D$24),0)</f>
        <v>1270.17584234284</v>
      </c>
      <c r="E36" s="22" t="n">
        <f aca="false">C36+D36</f>
        <v>3199.11421862435</v>
      </c>
      <c r="F36" s="22" t="n">
        <f aca="false">E36*Aannames!$D$8</f>
        <v>1983.4508155471</v>
      </c>
      <c r="G36" s="23" t="n">
        <f aca="false">CohortBull!AD$38</f>
        <v>9572.00116054399</v>
      </c>
      <c r="H36" s="22" t="n">
        <f aca="false">G36*Aannames!$D$9</f>
        <v>382.88004642176</v>
      </c>
      <c r="I36" s="24" t="n">
        <f aca="false">H36*Aannames!$D$10*(1-Aannames!$D$11)</f>
        <v>1949.43375635639</v>
      </c>
      <c r="J36" s="25" t="n">
        <f aca="false">MIN(J35*(1-Aannames!$D$18)+IF(A36&gt;=Aannames!$D$14,Aannames!$D$15*Aannames!$D$16,0),(Aannames!$D$19+IF(A36&gt;=Aannames!$D$24,Aannames!$D$25,0))*Aannames!$D$20)</f>
        <v>91.2671578175322</v>
      </c>
      <c r="K36" s="24" t="n">
        <f aca="false">J36*Aannames!$D$17</f>
        <v>5019.69367996427</v>
      </c>
      <c r="L36" s="24" t="n">
        <f aca="false">IF(AND(A36&gt;12,MOD(A36-1,12)=0),Aannames!$D$37,0)</f>
        <v>0</v>
      </c>
      <c r="M36" s="24" t="n">
        <f aca="false">I36+K36+L36</f>
        <v>6969.12743632066</v>
      </c>
      <c r="N36" s="24" t="n">
        <f aca="false">Aannames!$D$28+G36*Aannames!$D$29</f>
        <v>251.44002321088</v>
      </c>
      <c r="O36" s="24" t="n">
        <f aca="false">Aannames!$D$30*(1+IF(A36&gt;=Aannames!$D$24,1,0))</f>
        <v>160</v>
      </c>
      <c r="P36" s="24" t="n">
        <f aca="false">Aannames!$D$31</f>
        <v>70</v>
      </c>
      <c r="Q36" s="24" t="n">
        <f aca="false">IF(MOD(A36-1,12)=0,Aannames!$D$32,0)</f>
        <v>0</v>
      </c>
      <c r="R36" s="24" t="n">
        <f aca="false">Aannames!$D$33+IF(MOD(A36-1,12)=0,Aannames!$D$34,0)</f>
        <v>300</v>
      </c>
      <c r="S36" s="24" t="n">
        <f aca="false">IF(A36=1,Aannames!$D$35,0)</f>
        <v>0</v>
      </c>
      <c r="T36" s="24" t="n">
        <f aca="false">SUM(N36:S36)</f>
        <v>781.44002321088</v>
      </c>
      <c r="U36" s="24" t="n">
        <f aca="false">M36-T36</f>
        <v>6187.68741310978</v>
      </c>
      <c r="V36" s="24" t="n">
        <f aca="false">V35+U36</f>
        <v>85292.4050736865</v>
      </c>
    </row>
    <row r="37" customFormat="false" ht="15" hidden="false" customHeight="false" outlineLevel="0" collapsed="false">
      <c r="A37" s="7" t="n">
        <v>30</v>
      </c>
      <c r="B37" s="7" t="s">
        <v>145</v>
      </c>
      <c r="C37" s="22" t="n">
        <f aca="false">Aannames!$D$5*(1+Aannames!$D$6)^(A37-2)*(1+IF(MOD(A37-1,12)=0,Aannames!$D$7,0))</f>
        <v>2044.6746788584</v>
      </c>
      <c r="D37" s="22" t="n">
        <f aca="false">IF(A37&gt;=Aannames!$D$24,Aannames!$D$26*(1+Aannames!$D$6)^(A37-Aannames!$D$24),0)</f>
        <v>1346.38639288341</v>
      </c>
      <c r="E37" s="22" t="n">
        <f aca="false">C37+D37</f>
        <v>3391.06107174181</v>
      </c>
      <c r="F37" s="22" t="n">
        <f aca="false">E37*Aannames!$D$8</f>
        <v>2102.45786447992</v>
      </c>
      <c r="G37" s="23" t="n">
        <f aca="false">CohortBull!AE$38</f>
        <v>10107.780402126</v>
      </c>
      <c r="H37" s="22" t="n">
        <f aca="false">G37*Aannames!$D$9</f>
        <v>404.311216085039</v>
      </c>
      <c r="I37" s="24" t="n">
        <f aca="false">H37*Aannames!$D$10*(1-Aannames!$D$11)</f>
        <v>2058.55055669698</v>
      </c>
      <c r="J37" s="25" t="n">
        <f aca="false">MIN(J36*(1-Aannames!$D$18)+IF(A37&gt;=Aannames!$D$14,Aannames!$D$15*Aannames!$D$16,0),(Aannames!$D$19+IF(A37&gt;=Aannames!$D$24,Aannames!$D$25,0))*Aannames!$D$20)</f>
        <v>94.3981504502692</v>
      </c>
      <c r="K37" s="24" t="n">
        <f aca="false">J37*Aannames!$D$17</f>
        <v>5191.89827476481</v>
      </c>
      <c r="L37" s="24" t="n">
        <f aca="false">IF(AND(A37&gt;12,MOD(A37-1,12)=0),Aannames!$D$37,0)</f>
        <v>0</v>
      </c>
      <c r="M37" s="24" t="n">
        <f aca="false">I37+K37+L37</f>
        <v>7250.44883146179</v>
      </c>
      <c r="N37" s="24" t="n">
        <f aca="false">Aannames!$D$28+G37*Aannames!$D$29</f>
        <v>262.15560804252</v>
      </c>
      <c r="O37" s="24" t="n">
        <f aca="false">Aannames!$D$30*(1+IF(A37&gt;=Aannames!$D$24,1,0))</f>
        <v>160</v>
      </c>
      <c r="P37" s="24" t="n">
        <f aca="false">Aannames!$D$31</f>
        <v>70</v>
      </c>
      <c r="Q37" s="24" t="n">
        <f aca="false">IF(MOD(A37-1,12)=0,Aannames!$D$32,0)</f>
        <v>0</v>
      </c>
      <c r="R37" s="24" t="n">
        <f aca="false">Aannames!$D$33+IF(MOD(A37-1,12)=0,Aannames!$D$34,0)</f>
        <v>300</v>
      </c>
      <c r="S37" s="24" t="n">
        <f aca="false">IF(A37=1,Aannames!$D$35,0)</f>
        <v>0</v>
      </c>
      <c r="T37" s="24" t="n">
        <f aca="false">SUM(N37:S37)</f>
        <v>792.15560804252</v>
      </c>
      <c r="U37" s="24" t="n">
        <f aca="false">M37-T37</f>
        <v>6458.29322341927</v>
      </c>
      <c r="V37" s="24" t="n">
        <f aca="false">V36+U37</f>
        <v>91750.6982971058</v>
      </c>
    </row>
    <row r="38" customFormat="false" ht="15" hidden="false" customHeight="false" outlineLevel="0" collapsed="false">
      <c r="A38" s="7" t="n">
        <v>31</v>
      </c>
      <c r="B38" s="7" t="s">
        <v>146</v>
      </c>
      <c r="C38" s="22" t="n">
        <f aca="false">Aannames!$D$5*(1+Aannames!$D$6)^(A38-2)*(1+IF(MOD(A38-1,12)=0,Aannames!$D$7,0))</f>
        <v>2167.35515958991</v>
      </c>
      <c r="D38" s="22" t="n">
        <f aca="false">IF(A38&gt;=Aannames!$D$24,Aannames!$D$26*(1+Aannames!$D$6)^(A38-Aannames!$D$24),0)</f>
        <v>1427.16957645641</v>
      </c>
      <c r="E38" s="22" t="n">
        <f aca="false">C38+D38</f>
        <v>3594.52473604632</v>
      </c>
      <c r="F38" s="22" t="n">
        <f aca="false">E38*Aannames!$D$8</f>
        <v>2228.60533634872</v>
      </c>
      <c r="G38" s="23" t="n">
        <f aca="false">CohortBull!AF$38</f>
        <v>10702.9807201397</v>
      </c>
      <c r="H38" s="22" t="n">
        <f aca="false">G38*Aannames!$D$9</f>
        <v>428.119228805588</v>
      </c>
      <c r="I38" s="24" t="n">
        <f aca="false">H38*Aannames!$D$10*(1-Aannames!$D$11)</f>
        <v>2179.76905346365</v>
      </c>
      <c r="J38" s="25" t="n">
        <f aca="false">MIN(J37*(1-Aannames!$D$18)+IF(A38&gt;=Aannames!$D$14,Aannames!$D$15*Aannames!$D$16,0),(Aannames!$D$19+IF(A38&gt;=Aannames!$D$24,Aannames!$D$25,0))*Aannames!$D$20)</f>
        <v>97.4821781935152</v>
      </c>
      <c r="K38" s="24" t="n">
        <f aca="false">J38*Aannames!$D$17</f>
        <v>5361.51980064333</v>
      </c>
      <c r="L38" s="24" t="n">
        <f aca="false">IF(AND(A38&gt;12,MOD(A38-1,12)=0),Aannames!$D$37,0)</f>
        <v>0</v>
      </c>
      <c r="M38" s="24" t="n">
        <f aca="false">I38+K38+L38</f>
        <v>7541.28885410699</v>
      </c>
      <c r="N38" s="24" t="n">
        <f aca="false">Aannames!$D$28+G38*Aannames!$D$29</f>
        <v>274.059614402794</v>
      </c>
      <c r="O38" s="24" t="n">
        <f aca="false">Aannames!$D$30*(1+IF(A38&gt;=Aannames!$D$24,1,0))</f>
        <v>160</v>
      </c>
      <c r="P38" s="24" t="n">
        <f aca="false">Aannames!$D$31</f>
        <v>70</v>
      </c>
      <c r="Q38" s="24" t="n">
        <f aca="false">IF(MOD(A38-1,12)=0,Aannames!$D$32,0)</f>
        <v>0</v>
      </c>
      <c r="R38" s="24" t="n">
        <f aca="false">Aannames!$D$33+IF(MOD(A38-1,12)=0,Aannames!$D$34,0)</f>
        <v>300</v>
      </c>
      <c r="S38" s="24" t="n">
        <f aca="false">IF(A38=1,Aannames!$D$35,0)</f>
        <v>0</v>
      </c>
      <c r="T38" s="24" t="n">
        <f aca="false">SUM(N38:S38)</f>
        <v>804.059614402794</v>
      </c>
      <c r="U38" s="24" t="n">
        <f aca="false">M38-T38</f>
        <v>6737.22923970419</v>
      </c>
      <c r="V38" s="24" t="n">
        <f aca="false">V37+U38</f>
        <v>98487.92753681</v>
      </c>
    </row>
    <row r="39" customFormat="false" ht="15" hidden="false" customHeight="false" outlineLevel="0" collapsed="false">
      <c r="A39" s="7" t="n">
        <v>32</v>
      </c>
      <c r="B39" s="7" t="s">
        <v>147</v>
      </c>
      <c r="C39" s="22" t="n">
        <f aca="false">Aannames!$D$5*(1+Aannames!$D$6)^(A39-2)*(1+IF(MOD(A39-1,12)=0,Aannames!$D$7,0))</f>
        <v>2297.3964691653</v>
      </c>
      <c r="D39" s="22" t="n">
        <f aca="false">IF(A39&gt;=Aannames!$D$24,Aannames!$D$26*(1+Aannames!$D$6)^(A39-Aannames!$D$24),0)</f>
        <v>1512.7997510438</v>
      </c>
      <c r="E39" s="22" t="n">
        <f aca="false">C39+D39</f>
        <v>3810.1962202091</v>
      </c>
      <c r="F39" s="22" t="n">
        <f aca="false">E39*Aannames!$D$8</f>
        <v>2362.32165652964</v>
      </c>
      <c r="G39" s="23" t="n">
        <f aca="false">CohortBull!AG$38</f>
        <v>11347.9052083461</v>
      </c>
      <c r="H39" s="22" t="n">
        <f aca="false">G39*Aannames!$D$9</f>
        <v>453.916208333843</v>
      </c>
      <c r="I39" s="24" t="n">
        <f aca="false">H39*Aannames!$D$10*(1-Aannames!$D$11)</f>
        <v>2311.11437473176</v>
      </c>
      <c r="J39" s="25" t="n">
        <f aca="false">MIN(J38*(1-Aannames!$D$18)+IF(A39&gt;=Aannames!$D$14,Aannames!$D$15*Aannames!$D$16,0),(Aannames!$D$19+IF(A39&gt;=Aannames!$D$24,Aannames!$D$25,0))*Aannames!$D$20)</f>
        <v>100.519945520612</v>
      </c>
      <c r="K39" s="24" t="n">
        <f aca="false">J39*Aannames!$D$17</f>
        <v>5528.59700363368</v>
      </c>
      <c r="L39" s="24" t="n">
        <f aca="false">IF(AND(A39&gt;12,MOD(A39-1,12)=0),Aannames!$D$37,0)</f>
        <v>0</v>
      </c>
      <c r="M39" s="24" t="n">
        <f aca="false">I39+K39+L39</f>
        <v>7839.71137836544</v>
      </c>
      <c r="N39" s="24" t="n">
        <f aca="false">Aannames!$D$28+G39*Aannames!$D$29</f>
        <v>286.958104166921</v>
      </c>
      <c r="O39" s="24" t="n">
        <f aca="false">Aannames!$D$30*(1+IF(A39&gt;=Aannames!$D$24,1,0))</f>
        <v>160</v>
      </c>
      <c r="P39" s="24" t="n">
        <f aca="false">Aannames!$D$31</f>
        <v>70</v>
      </c>
      <c r="Q39" s="24" t="n">
        <f aca="false">IF(MOD(A39-1,12)=0,Aannames!$D$32,0)</f>
        <v>0</v>
      </c>
      <c r="R39" s="24" t="n">
        <f aca="false">Aannames!$D$33+IF(MOD(A39-1,12)=0,Aannames!$D$34,0)</f>
        <v>300</v>
      </c>
      <c r="S39" s="24" t="n">
        <f aca="false">IF(A39=1,Aannames!$D$35,0)</f>
        <v>0</v>
      </c>
      <c r="T39" s="24" t="n">
        <f aca="false">SUM(N39:S39)</f>
        <v>816.958104166921</v>
      </c>
      <c r="U39" s="24" t="n">
        <f aca="false">M39-T39</f>
        <v>7022.75327419852</v>
      </c>
      <c r="V39" s="24" t="n">
        <f aca="false">V38+U39</f>
        <v>105510.680811009</v>
      </c>
    </row>
    <row r="40" customFormat="false" ht="15" hidden="false" customHeight="false" outlineLevel="0" collapsed="false">
      <c r="A40" s="7" t="n">
        <v>33</v>
      </c>
      <c r="B40" s="7" t="s">
        <v>148</v>
      </c>
      <c r="C40" s="22" t="n">
        <f aca="false">Aannames!$D$5*(1+Aannames!$D$6)^(A40-2)*(1+IF(MOD(A40-1,12)=0,Aannames!$D$7,0))</f>
        <v>2435.24025731522</v>
      </c>
      <c r="D40" s="22" t="n">
        <f aca="false">IF(A40&gt;=Aannames!$D$24,Aannames!$D$26*(1+Aannames!$D$6)^(A40-Aannames!$D$24),0)</f>
        <v>1603.56773610642</v>
      </c>
      <c r="E40" s="22" t="n">
        <f aca="false">C40+D40</f>
        <v>4038.80799342165</v>
      </c>
      <c r="F40" s="22" t="n">
        <f aca="false">E40*Aannames!$D$8</f>
        <v>2504.06095592142</v>
      </c>
      <c r="G40" s="23" t="n">
        <f aca="false">CohortBull!AH$38</f>
        <v>12044.8268435196</v>
      </c>
      <c r="H40" s="22" t="n">
        <f aca="false">G40*Aannames!$D$9</f>
        <v>481.793073740784</v>
      </c>
      <c r="I40" s="24" t="n">
        <f aca="false">H40*Aannames!$D$10*(1-Aannames!$D$11)</f>
        <v>2453.0494349512</v>
      </c>
      <c r="J40" s="25" t="n">
        <f aca="false">MIN(J39*(1-Aannames!$D$18)+IF(A40&gt;=Aannames!$D$14,Aannames!$D$15*Aannames!$D$16,0),(Aannames!$D$19+IF(A40&gt;=Aannames!$D$24,Aannames!$D$25,0))*Aannames!$D$20)</f>
        <v>103.512146337803</v>
      </c>
      <c r="K40" s="24" t="n">
        <f aca="false">J40*Aannames!$D$17</f>
        <v>5693.16804857918</v>
      </c>
      <c r="L40" s="24" t="n">
        <f aca="false">IF(AND(A40&gt;12,MOD(A40-1,12)=0),Aannames!$D$37,0)</f>
        <v>0</v>
      </c>
      <c r="M40" s="24" t="n">
        <f aca="false">I40+K40+L40</f>
        <v>8146.21748353038</v>
      </c>
      <c r="N40" s="24" t="n">
        <f aca="false">Aannames!$D$28+G40*Aannames!$D$29</f>
        <v>300.896536870392</v>
      </c>
      <c r="O40" s="24" t="n">
        <f aca="false">Aannames!$D$30*(1+IF(A40&gt;=Aannames!$D$24,1,0))</f>
        <v>160</v>
      </c>
      <c r="P40" s="24" t="n">
        <f aca="false">Aannames!$D$31</f>
        <v>70</v>
      </c>
      <c r="Q40" s="24" t="n">
        <f aca="false">IF(MOD(A40-1,12)=0,Aannames!$D$32,0)</f>
        <v>0</v>
      </c>
      <c r="R40" s="24" t="n">
        <f aca="false">Aannames!$D$33+IF(MOD(A40-1,12)=0,Aannames!$D$34,0)</f>
        <v>300</v>
      </c>
      <c r="S40" s="24" t="n">
        <f aca="false">IF(A40=1,Aannames!$D$35,0)</f>
        <v>0</v>
      </c>
      <c r="T40" s="24" t="n">
        <f aca="false">SUM(N40:S40)</f>
        <v>830.896536870392</v>
      </c>
      <c r="U40" s="24" t="n">
        <f aca="false">M40-T40</f>
        <v>7315.32094665999</v>
      </c>
      <c r="V40" s="24" t="n">
        <f aca="false">V39+U40</f>
        <v>112826.001757669</v>
      </c>
    </row>
    <row r="41" customFormat="false" ht="15" hidden="false" customHeight="false" outlineLevel="0" collapsed="false">
      <c r="A41" s="7" t="n">
        <v>34</v>
      </c>
      <c r="B41" s="7" t="s">
        <v>149</v>
      </c>
      <c r="C41" s="22" t="n">
        <f aca="false">Aannames!$D$5*(1+Aannames!$D$6)^(A41-2)*(1+IF(MOD(A41-1,12)=0,Aannames!$D$7,0))</f>
        <v>2581.35467275414</v>
      </c>
      <c r="D41" s="22" t="n">
        <f aca="false">IF(A41&gt;=Aannames!$D$24,Aannames!$D$26*(1+Aannames!$D$6)^(A41-Aannames!$D$24),0)</f>
        <v>1699.78180027281</v>
      </c>
      <c r="E41" s="22" t="n">
        <f aca="false">C41+D41</f>
        <v>4281.13647302695</v>
      </c>
      <c r="F41" s="22" t="n">
        <f aca="false">E41*Aannames!$D$8</f>
        <v>2654.30461327671</v>
      </c>
      <c r="G41" s="23" t="n">
        <f aca="false">CohortBull!AI$38</f>
        <v>12784.3137570904</v>
      </c>
      <c r="H41" s="22" t="n">
        <f aca="false">G41*Aannames!$D$9</f>
        <v>511.372550283615</v>
      </c>
      <c r="I41" s="24" t="n">
        <f aca="false">H41*Aannames!$D$10*(1-Aannames!$D$11)</f>
        <v>2603.65333976903</v>
      </c>
      <c r="J41" s="25" t="n">
        <f aca="false">MIN(J40*(1-Aannames!$D$18)+IF(A41&gt;=Aannames!$D$14,Aannames!$D$15*Aannames!$D$16,0),(Aannames!$D$19+IF(A41&gt;=Aannames!$D$24,Aannames!$D$25,0))*Aannames!$D$20)</f>
        <v>106.459464142736</v>
      </c>
      <c r="K41" s="24" t="n">
        <f aca="false">J41*Aannames!$D$17</f>
        <v>5855.27052785049</v>
      </c>
      <c r="L41" s="24" t="n">
        <f aca="false">IF(AND(A41&gt;12,MOD(A41-1,12)=0),Aannames!$D$37,0)</f>
        <v>0</v>
      </c>
      <c r="M41" s="24" t="n">
        <f aca="false">I41+K41+L41</f>
        <v>8458.92386761952</v>
      </c>
      <c r="N41" s="24" t="n">
        <f aca="false">Aannames!$D$28+G41*Aannames!$D$29</f>
        <v>315.686275141808</v>
      </c>
      <c r="O41" s="24" t="n">
        <f aca="false">Aannames!$D$30*(1+IF(A41&gt;=Aannames!$D$24,1,0))</f>
        <v>160</v>
      </c>
      <c r="P41" s="24" t="n">
        <f aca="false">Aannames!$D$31</f>
        <v>70</v>
      </c>
      <c r="Q41" s="24" t="n">
        <f aca="false">IF(MOD(A41-1,12)=0,Aannames!$D$32,0)</f>
        <v>0</v>
      </c>
      <c r="R41" s="24" t="n">
        <f aca="false">Aannames!$D$33+IF(MOD(A41-1,12)=0,Aannames!$D$34,0)</f>
        <v>300</v>
      </c>
      <c r="S41" s="24" t="n">
        <f aca="false">IF(A41=1,Aannames!$D$35,0)</f>
        <v>0</v>
      </c>
      <c r="T41" s="24" t="n">
        <f aca="false">SUM(N41:S41)</f>
        <v>845.686275141808</v>
      </c>
      <c r="U41" s="24" t="n">
        <f aca="false">M41-T41</f>
        <v>7613.23759247771</v>
      </c>
      <c r="V41" s="24" t="n">
        <f aca="false">V40+U41</f>
        <v>120439.239350146</v>
      </c>
    </row>
    <row r="42" customFormat="false" ht="15" hidden="false" customHeight="false" outlineLevel="0" collapsed="false">
      <c r="A42" s="7" t="n">
        <v>35</v>
      </c>
      <c r="B42" s="7" t="s">
        <v>150</v>
      </c>
      <c r="C42" s="22" t="n">
        <f aca="false">Aannames!$D$5*(1+Aannames!$D$6)^(A42-2)*(1+IF(MOD(A42-1,12)=0,Aannames!$D$7,0))</f>
        <v>2736.23595311938</v>
      </c>
      <c r="D42" s="22" t="n">
        <f aca="false">IF(A42&gt;=Aannames!$D$24,Aannames!$D$26*(1+Aannames!$D$6)^(A42-Aannames!$D$24),0)</f>
        <v>1801.76870828918</v>
      </c>
      <c r="E42" s="22" t="n">
        <f aca="false">C42+D42</f>
        <v>4538.00466140856</v>
      </c>
      <c r="F42" s="22" t="n">
        <f aca="false">E42*Aannames!$D$8</f>
        <v>2813.56289007331</v>
      </c>
      <c r="G42" s="23" t="n">
        <f aca="false">CohortBull!AJ$38</f>
        <v>13570.4068108684</v>
      </c>
      <c r="H42" s="22" t="n">
        <f aca="false">G42*Aannames!$D$9</f>
        <v>542.816272434737</v>
      </c>
      <c r="I42" s="24" t="n">
        <f aca="false">H42*Aannames!$D$10*(1-Aannames!$D$11)</f>
        <v>2763.74905110146</v>
      </c>
      <c r="J42" s="25" t="n">
        <f aca="false">MIN(J41*(1-Aannames!$D$18)+IF(A42&gt;=Aannames!$D$14,Aannames!$D$15*Aannames!$D$16,0),(Aannames!$D$19+IF(A42&gt;=Aannames!$D$24,Aannames!$D$25,0))*Aannames!$D$20)</f>
        <v>109.362572180595</v>
      </c>
      <c r="K42" s="24" t="n">
        <f aca="false">J42*Aannames!$D$17</f>
        <v>6014.94146993273</v>
      </c>
      <c r="L42" s="24" t="n">
        <f aca="false">IF(AND(A42&gt;12,MOD(A42-1,12)=0),Aannames!$D$37,0)</f>
        <v>0</v>
      </c>
      <c r="M42" s="24" t="n">
        <f aca="false">I42+K42+L42</f>
        <v>8778.6905210342</v>
      </c>
      <c r="N42" s="24" t="n">
        <f aca="false">Aannames!$D$28+G42*Aannames!$D$29</f>
        <v>331.408136217368</v>
      </c>
      <c r="O42" s="24" t="n">
        <f aca="false">Aannames!$D$30*(1+IF(A42&gt;=Aannames!$D$24,1,0))</f>
        <v>160</v>
      </c>
      <c r="P42" s="24" t="n">
        <f aca="false">Aannames!$D$31</f>
        <v>70</v>
      </c>
      <c r="Q42" s="24" t="n">
        <f aca="false">IF(MOD(A42-1,12)=0,Aannames!$D$32,0)</f>
        <v>0</v>
      </c>
      <c r="R42" s="24" t="n">
        <f aca="false">Aannames!$D$33+IF(MOD(A42-1,12)=0,Aannames!$D$34,0)</f>
        <v>300</v>
      </c>
      <c r="S42" s="24" t="n">
        <f aca="false">IF(A42=1,Aannames!$D$35,0)</f>
        <v>0</v>
      </c>
      <c r="T42" s="24" t="n">
        <f aca="false">SUM(N42:S42)</f>
        <v>861.408136217368</v>
      </c>
      <c r="U42" s="24" t="n">
        <f aca="false">M42-T42</f>
        <v>7917.28238481683</v>
      </c>
      <c r="V42" s="24" t="n">
        <f aca="false">V41+U42</f>
        <v>128356.521734963</v>
      </c>
    </row>
    <row r="43" customFormat="false" ht="15" hidden="false" customHeight="false" outlineLevel="0" collapsed="false">
      <c r="A43" s="7" t="n">
        <v>36</v>
      </c>
      <c r="B43" s="7" t="s">
        <v>151</v>
      </c>
      <c r="C43" s="22" t="n">
        <f aca="false">Aannames!$D$5*(1+Aannames!$D$6)^(A43-2)*(1+IF(MOD(A43-1,12)=0,Aannames!$D$7,0))</f>
        <v>2900.41011030655</v>
      </c>
      <c r="D43" s="22" t="n">
        <f aca="false">IF(A43&gt;=Aannames!$D$24,Aannames!$D$26*(1+Aannames!$D$6)^(A43-Aannames!$D$24),0)</f>
        <v>1909.87483078653</v>
      </c>
      <c r="E43" s="22" t="n">
        <f aca="false">C43+D43</f>
        <v>4810.28494109308</v>
      </c>
      <c r="F43" s="22" t="n">
        <f aca="false">E43*Aannames!$D$8</f>
        <v>2982.37666347771</v>
      </c>
      <c r="G43" s="23" t="n">
        <f aca="false">CohortBull!AK$38</f>
        <v>14416.4960354045</v>
      </c>
      <c r="H43" s="22" t="n">
        <f aca="false">G43*Aannames!$D$9</f>
        <v>576.65984141618</v>
      </c>
      <c r="I43" s="24" t="n">
        <f aca="false">H43*Aannames!$D$10*(1-Aannames!$D$11)</f>
        <v>2936.06358257048</v>
      </c>
      <c r="J43" s="25" t="n">
        <f aca="false">MIN(J42*(1-Aannames!$D$18)+IF(A43&gt;=Aannames!$D$14,Aannames!$D$15*Aannames!$D$16,0),(Aannames!$D$19+IF(A43&gt;=Aannames!$D$24,Aannames!$D$25,0))*Aannames!$D$20)</f>
        <v>112.222133597886</v>
      </c>
      <c r="K43" s="24" t="n">
        <f aca="false">J43*Aannames!$D$17</f>
        <v>6172.21734788374</v>
      </c>
      <c r="L43" s="24" t="n">
        <f aca="false">IF(AND(A43&gt;12,MOD(A43-1,12)=0),Aannames!$D$37,0)</f>
        <v>0</v>
      </c>
      <c r="M43" s="24" t="n">
        <f aca="false">I43+K43+L43</f>
        <v>9108.28093045422</v>
      </c>
      <c r="N43" s="24" t="n">
        <f aca="false">Aannames!$D$28+G43*Aannames!$D$29</f>
        <v>348.32992070809</v>
      </c>
      <c r="O43" s="24" t="n">
        <f aca="false">Aannames!$D$30*(1+IF(A43&gt;=Aannames!$D$24,1,0))</f>
        <v>160</v>
      </c>
      <c r="P43" s="24" t="n">
        <f aca="false">Aannames!$D$31</f>
        <v>70</v>
      </c>
      <c r="Q43" s="24" t="n">
        <f aca="false">IF(MOD(A43-1,12)=0,Aannames!$D$32,0)</f>
        <v>0</v>
      </c>
      <c r="R43" s="24" t="n">
        <f aca="false">Aannames!$D$33+IF(MOD(A43-1,12)=0,Aannames!$D$34,0)</f>
        <v>300</v>
      </c>
      <c r="S43" s="24" t="n">
        <f aca="false">IF(A43=1,Aannames!$D$35,0)</f>
        <v>0</v>
      </c>
      <c r="T43" s="24" t="n">
        <f aca="false">SUM(N43:S43)</f>
        <v>878.32992070809</v>
      </c>
      <c r="U43" s="24" t="n">
        <f aca="false">M43-T43</f>
        <v>8229.95100974613</v>
      </c>
      <c r="V43" s="24" t="n">
        <f aca="false">V42+U43</f>
        <v>136586.472744709</v>
      </c>
    </row>
    <row r="45" customFormat="false" ht="15" hidden="false" customHeight="false" outlineLevel="0" collapsed="false">
      <c r="A45" s="26" t="s">
        <v>152</v>
      </c>
    </row>
    <row r="46" customFormat="false" ht="15" hidden="false" customHeight="false" outlineLevel="0" collapsed="false">
      <c r="A46" s="13" t="s">
        <v>153</v>
      </c>
      <c r="C46" s="22" t="n">
        <f aca="false">G19</f>
        <v>1687.53994521878</v>
      </c>
    </row>
    <row r="47" customFormat="false" ht="15" hidden="false" customHeight="false" outlineLevel="0" collapsed="false">
      <c r="A47" s="13" t="s">
        <v>154</v>
      </c>
      <c r="C47" s="22" t="n">
        <f aca="false">G31</f>
        <v>6279.04729604023</v>
      </c>
    </row>
    <row r="48" customFormat="false" ht="15" hidden="false" customHeight="false" outlineLevel="0" collapsed="false">
      <c r="A48" s="13" t="s">
        <v>155</v>
      </c>
      <c r="C48" s="22" t="n">
        <f aca="false">G43</f>
        <v>14416.4960354045</v>
      </c>
    </row>
    <row r="49" customFormat="false" ht="15" hidden="false" customHeight="false" outlineLevel="0" collapsed="false">
      <c r="A49" s="13" t="s">
        <v>156</v>
      </c>
      <c r="C49" s="25" t="n">
        <f aca="false">J43</f>
        <v>112.222133597886</v>
      </c>
    </row>
    <row r="50" customFormat="false" ht="15" hidden="false" customHeight="false" outlineLevel="0" collapsed="false">
      <c r="A50" s="13" t="s">
        <v>157</v>
      </c>
      <c r="C50" s="24" t="n">
        <f aca="false">K43+I43</f>
        <v>9108.28093045422</v>
      </c>
    </row>
    <row r="51" customFormat="false" ht="15" hidden="false" customHeight="false" outlineLevel="0" collapsed="false">
      <c r="A51" s="13" t="s">
        <v>158</v>
      </c>
      <c r="C51" s="24" t="n">
        <f aca="false">SUM(M32:M43)</f>
        <v>99597.0223680245</v>
      </c>
    </row>
    <row r="52" customFormat="false" ht="15" hidden="false" customHeight="false" outlineLevel="0" collapsed="false">
      <c r="A52" s="13" t="s">
        <v>159</v>
      </c>
      <c r="C52" s="27" t="n">
        <f aca="false">IF(G43=0,0,M43/G43)</f>
        <v>0.631795750374142</v>
      </c>
    </row>
    <row r="53" customFormat="false" ht="15" hidden="false" customHeight="false" outlineLevel="0" collapsed="false">
      <c r="A53" s="13" t="s">
        <v>160</v>
      </c>
      <c r="C53" s="27" t="n">
        <f aca="false">Retentie!$D$38*Aannames!$D$9*Aannames!$D$10*(1-Aannames!$D$11)</f>
        <v>1.76654684</v>
      </c>
    </row>
    <row r="54" customFormat="false" ht="15" hidden="false" customHeight="false" outlineLevel="0" collapsed="false">
      <c r="A54" s="13" t="s">
        <v>161</v>
      </c>
      <c r="C54" s="27" t="n">
        <f aca="false">SUM(R8:R43)/SUM(F8:F43)</f>
        <v>0.319656731061422</v>
      </c>
    </row>
    <row r="55" customFormat="false" ht="15" hidden="false" customHeight="false" outlineLevel="0" collapsed="false">
      <c r="A55" s="13" t="s">
        <v>162</v>
      </c>
      <c r="C55" s="28" t="n">
        <f aca="false">IF(C54=0,0,C53/C54)</f>
        <v>5.52638711574811</v>
      </c>
    </row>
    <row r="56" customFormat="false" ht="15" hidden="false" customHeight="false" outlineLevel="0" collapsed="false">
      <c r="A56" s="13" t="s">
        <v>163</v>
      </c>
      <c r="C56" s="24" t="n">
        <f aca="false">Aannames!$D$17*Aannames!$D$22/Aannames!$D$18</f>
        <v>3483.33333333333</v>
      </c>
    </row>
    <row r="57" customFormat="false" ht="15" hidden="false" customHeight="false" outlineLevel="0" collapsed="false">
      <c r="A57" s="13" t="s">
        <v>164</v>
      </c>
      <c r="C57" s="24" t="n">
        <f aca="false">Aannames!$D$21</f>
        <v>100</v>
      </c>
    </row>
    <row r="58" customFormat="false" ht="15" hidden="false" customHeight="false" outlineLevel="0" collapsed="false">
      <c r="A58" s="13" t="s">
        <v>165</v>
      </c>
      <c r="C58" s="25" t="n">
        <f aca="false">IF(C57=0,0,C56/C57)</f>
        <v>34.8333333333333</v>
      </c>
    </row>
    <row r="59" customFormat="false" ht="15" hidden="false" customHeight="false" outlineLevel="0" collapsed="false">
      <c r="A59" s="13" t="s">
        <v>166</v>
      </c>
      <c r="C59" s="25" t="n">
        <f aca="false">Aannames!$D$21/(Aannames!$D$17*Aannames!$D$22)</f>
        <v>1.91387559808612</v>
      </c>
    </row>
    <row r="60" customFormat="false" ht="15" hidden="false" customHeight="false" outlineLevel="0" collapsed="false">
      <c r="A60" s="13" t="s">
        <v>167</v>
      </c>
      <c r="C60" s="24" t="n">
        <f aca="false">-MIN(V8:V43)</f>
        <v>3902.35466510825</v>
      </c>
    </row>
    <row r="61" customFormat="false" ht="15" hidden="false" customHeight="false" outlineLevel="0" collapsed="false">
      <c r="A61" s="13" t="s">
        <v>168</v>
      </c>
      <c r="C61" s="24" t="n">
        <f aca="false">V43</f>
        <v>136586.472744709</v>
      </c>
    </row>
    <row r="62" customFormat="false" ht="15" hidden="false" customHeight="false" outlineLevel="0" collapsed="false">
      <c r="A62" s="13" t="s">
        <v>169</v>
      </c>
      <c r="C62" s="7" t="n">
        <f aca="false">IF(V43&lt;0,"niet in 36 mnd",SUMPRODUCT(--($V$8:$V$43&lt;0))+1)</f>
        <v>12</v>
      </c>
      <c r="E62" s="2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7" min="2" style="0" width="8"/>
  </cols>
  <sheetData>
    <row r="1" customFormat="false" ht="15" hidden="false" customHeight="false" outlineLevel="0" collapsed="false">
      <c r="A1" s="5" t="s">
        <v>171</v>
      </c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  <c r="N1" s="11" t="n">
        <v>13</v>
      </c>
      <c r="O1" s="11" t="n">
        <v>14</v>
      </c>
      <c r="P1" s="11" t="n">
        <v>15</v>
      </c>
      <c r="Q1" s="11" t="n">
        <v>16</v>
      </c>
      <c r="R1" s="11" t="n">
        <v>17</v>
      </c>
      <c r="S1" s="11" t="n">
        <v>18</v>
      </c>
      <c r="T1" s="11" t="n">
        <v>19</v>
      </c>
      <c r="U1" s="11" t="n">
        <v>20</v>
      </c>
      <c r="V1" s="11" t="n">
        <v>21</v>
      </c>
      <c r="W1" s="11" t="n">
        <v>22</v>
      </c>
      <c r="X1" s="11" t="n">
        <v>23</v>
      </c>
      <c r="Y1" s="11" t="n">
        <v>24</v>
      </c>
      <c r="Z1" s="11" t="n">
        <v>25</v>
      </c>
      <c r="AA1" s="11" t="n">
        <v>26</v>
      </c>
      <c r="AB1" s="11" t="n">
        <v>27</v>
      </c>
      <c r="AC1" s="11" t="n">
        <v>28</v>
      </c>
      <c r="AD1" s="11" t="n">
        <v>29</v>
      </c>
      <c r="AE1" s="11" t="n">
        <v>30</v>
      </c>
      <c r="AF1" s="11" t="n">
        <v>31</v>
      </c>
      <c r="AG1" s="11" t="n">
        <v>32</v>
      </c>
      <c r="AH1" s="11" t="n">
        <v>33</v>
      </c>
      <c r="AI1" s="11" t="n">
        <v>34</v>
      </c>
      <c r="AJ1" s="11" t="n">
        <v>35</v>
      </c>
      <c r="AK1" s="11" t="n">
        <v>36</v>
      </c>
    </row>
    <row r="2" customFormat="false" ht="15" hidden="false" customHeight="false" outlineLevel="0" collapsed="false">
      <c r="A2" s="5" t="n">
        <v>1</v>
      </c>
      <c r="B2" s="23" t="n">
        <f aca="false">ModelBull!$F$8*Retentie!$D$2</f>
        <v>930</v>
      </c>
      <c r="C2" s="23" t="n">
        <f aca="false">ModelBull!$F$8*Retentie!$D$3</f>
        <v>483.6</v>
      </c>
      <c r="D2" s="23" t="n">
        <f aca="false">ModelBull!$F$8*Retentie!$D$4</f>
        <v>390.6</v>
      </c>
      <c r="E2" s="23" t="n">
        <f aca="false">ModelBull!$F$8*Retentie!$D$5</f>
        <v>325.5</v>
      </c>
      <c r="F2" s="23" t="n">
        <f aca="false">ModelBull!$F$8*Retentie!$D$6</f>
        <v>288.3</v>
      </c>
      <c r="G2" s="23" t="n">
        <f aca="false">ModelBull!$F$8*Retentie!$D$7</f>
        <v>260.4</v>
      </c>
      <c r="H2" s="23" t="n">
        <f aca="false">ModelBull!$F$8*Retentie!$D$8</f>
        <v>241.8</v>
      </c>
      <c r="I2" s="23" t="n">
        <f aca="false">ModelBull!$F$8*Retentie!$D$9</f>
        <v>227.85</v>
      </c>
      <c r="J2" s="23" t="n">
        <f aca="false">ModelBull!$F$8*Retentie!$D$10</f>
        <v>218.55</v>
      </c>
      <c r="K2" s="23" t="n">
        <f aca="false">ModelBull!$F$8*Retentie!$D$11</f>
        <v>209.25</v>
      </c>
      <c r="L2" s="23" t="n">
        <f aca="false">ModelBull!$F$8*Retentie!$D$12</f>
        <v>199.95</v>
      </c>
      <c r="M2" s="23" t="n">
        <f aca="false">ModelBull!$F$8*Retentie!$D$13</f>
        <v>195.3</v>
      </c>
      <c r="N2" s="23" t="n">
        <f aca="false">ModelBull!$F$8*Retentie!$D$14</f>
        <v>190.65</v>
      </c>
      <c r="O2" s="23" t="n">
        <f aca="false">ModelBull!$F$8*Retentie!$D$15</f>
        <v>186</v>
      </c>
      <c r="P2" s="23" t="n">
        <f aca="false">ModelBull!$F$8*Retentie!$D$16</f>
        <v>184.14</v>
      </c>
      <c r="Q2" s="23" t="n">
        <f aca="false">ModelBull!$F$8*Retentie!$D$17</f>
        <v>182.28</v>
      </c>
      <c r="R2" s="23" t="n">
        <f aca="false">ModelBull!$F$8*Retentie!$D$18</f>
        <v>180.42</v>
      </c>
      <c r="S2" s="23" t="n">
        <f aca="false">ModelBull!$F$8*Retentie!$D$19</f>
        <v>178.56</v>
      </c>
      <c r="T2" s="23" t="n">
        <f aca="false">ModelBull!$F$8*Retentie!$D$20</f>
        <v>176.7</v>
      </c>
      <c r="U2" s="23" t="n">
        <f aca="false">ModelBull!$F$8*Retentie!$D$21</f>
        <v>174.84</v>
      </c>
      <c r="V2" s="23" t="n">
        <f aca="false">ModelBull!$F$8*Retentie!$D$22</f>
        <v>172.98</v>
      </c>
      <c r="W2" s="23" t="n">
        <f aca="false">ModelBull!$F$8*Retentie!$D$23</f>
        <v>171.12</v>
      </c>
      <c r="X2" s="23" t="n">
        <f aca="false">ModelBull!$F$8*Retentie!$D$24</f>
        <v>170.19</v>
      </c>
      <c r="Y2" s="23" t="n">
        <f aca="false">ModelBull!$F$8*Retentie!$D$25</f>
        <v>169.26</v>
      </c>
      <c r="Z2" s="23" t="n">
        <f aca="false">ModelBull!$F$8*Retentie!$D$26</f>
        <v>168.33</v>
      </c>
      <c r="AA2" s="23" t="n">
        <f aca="false">ModelBull!$F$8*Retentie!$D$27</f>
        <v>167.4</v>
      </c>
      <c r="AB2" s="23" t="n">
        <f aca="false">ModelBull!$F$8*Retentie!$D$28</f>
        <v>166.47</v>
      </c>
      <c r="AC2" s="23" t="n">
        <f aca="false">ModelBull!$F$8*Retentie!$D$29</f>
        <v>165.54</v>
      </c>
      <c r="AD2" s="23" t="n">
        <f aca="false">ModelBull!$F$8*Retentie!$D$30</f>
        <v>164.61</v>
      </c>
      <c r="AE2" s="23" t="n">
        <f aca="false">ModelBull!$F$8*Retentie!$D$31</f>
        <v>163.68</v>
      </c>
      <c r="AF2" s="23" t="n">
        <f aca="false">ModelBull!$F$8*Retentie!$D$32</f>
        <v>162.75</v>
      </c>
      <c r="AG2" s="23" t="n">
        <f aca="false">ModelBull!$F$8*Retentie!$D$33</f>
        <v>161.82</v>
      </c>
      <c r="AH2" s="23" t="n">
        <f aca="false">ModelBull!$F$8*Retentie!$D$34</f>
        <v>160.89</v>
      </c>
      <c r="AI2" s="23" t="n">
        <f aca="false">ModelBull!$F$8*Retentie!$D$35</f>
        <v>159.96</v>
      </c>
      <c r="AJ2" s="23" t="n">
        <f aca="false">ModelBull!$F$8*Retentie!$D$36</f>
        <v>159.03</v>
      </c>
      <c r="AK2" s="23" t="n">
        <f aca="false">ModelBull!$F$8*Retentie!$D$37</f>
        <v>158.1</v>
      </c>
    </row>
    <row r="3" customFormat="false" ht="15" hidden="false" customHeight="false" outlineLevel="0" collapsed="false">
      <c r="A3" s="5" t="n">
        <v>2</v>
      </c>
      <c r="C3" s="23" t="n">
        <f aca="false">ModelBull!$F$9*Retentie!$D$2</f>
        <v>248</v>
      </c>
      <c r="D3" s="23" t="n">
        <f aca="false">ModelBull!$F$9*Retentie!$D$3</f>
        <v>128.96</v>
      </c>
      <c r="E3" s="23" t="n">
        <f aca="false">ModelBull!$F$9*Retentie!$D$4</f>
        <v>104.16</v>
      </c>
      <c r="F3" s="23" t="n">
        <f aca="false">ModelBull!$F$9*Retentie!$D$5</f>
        <v>86.8</v>
      </c>
      <c r="G3" s="23" t="n">
        <f aca="false">ModelBull!$F$9*Retentie!$D$6</f>
        <v>76.88</v>
      </c>
      <c r="H3" s="23" t="n">
        <f aca="false">ModelBull!$F$9*Retentie!$D$7</f>
        <v>69.44</v>
      </c>
      <c r="I3" s="23" t="n">
        <f aca="false">ModelBull!$F$9*Retentie!$D$8</f>
        <v>64.48</v>
      </c>
      <c r="J3" s="23" t="n">
        <f aca="false">ModelBull!$F$9*Retentie!$D$9</f>
        <v>60.76</v>
      </c>
      <c r="K3" s="23" t="n">
        <f aca="false">ModelBull!$F$9*Retentie!$D$10</f>
        <v>58.28</v>
      </c>
      <c r="L3" s="23" t="n">
        <f aca="false">ModelBull!$F$9*Retentie!$D$11</f>
        <v>55.8</v>
      </c>
      <c r="M3" s="23" t="n">
        <f aca="false">ModelBull!$F$9*Retentie!$D$12</f>
        <v>53.32</v>
      </c>
      <c r="N3" s="23" t="n">
        <f aca="false">ModelBull!$F$9*Retentie!$D$13</f>
        <v>52.08</v>
      </c>
      <c r="O3" s="23" t="n">
        <f aca="false">ModelBull!$F$9*Retentie!$D$14</f>
        <v>50.84</v>
      </c>
      <c r="P3" s="23" t="n">
        <f aca="false">ModelBull!$F$9*Retentie!$D$15</f>
        <v>49.6</v>
      </c>
      <c r="Q3" s="23" t="n">
        <f aca="false">ModelBull!$F$9*Retentie!$D$16</f>
        <v>49.104</v>
      </c>
      <c r="R3" s="23" t="n">
        <f aca="false">ModelBull!$F$9*Retentie!$D$17</f>
        <v>48.608</v>
      </c>
      <c r="S3" s="23" t="n">
        <f aca="false">ModelBull!$F$9*Retentie!$D$18</f>
        <v>48.112</v>
      </c>
      <c r="T3" s="23" t="n">
        <f aca="false">ModelBull!$F$9*Retentie!$D$19</f>
        <v>47.616</v>
      </c>
      <c r="U3" s="23" t="n">
        <f aca="false">ModelBull!$F$9*Retentie!$D$20</f>
        <v>47.12</v>
      </c>
      <c r="V3" s="23" t="n">
        <f aca="false">ModelBull!$F$9*Retentie!$D$21</f>
        <v>46.624</v>
      </c>
      <c r="W3" s="23" t="n">
        <f aca="false">ModelBull!$F$9*Retentie!$D$22</f>
        <v>46.128</v>
      </c>
      <c r="X3" s="23" t="n">
        <f aca="false">ModelBull!$F$9*Retentie!$D$23</f>
        <v>45.632</v>
      </c>
      <c r="Y3" s="23" t="n">
        <f aca="false">ModelBull!$F$9*Retentie!$D$24</f>
        <v>45.384</v>
      </c>
      <c r="Z3" s="23" t="n">
        <f aca="false">ModelBull!$F$9*Retentie!$D$25</f>
        <v>45.136</v>
      </c>
      <c r="AA3" s="23" t="n">
        <f aca="false">ModelBull!$F$9*Retentie!$D$26</f>
        <v>44.888</v>
      </c>
      <c r="AB3" s="23" t="n">
        <f aca="false">ModelBull!$F$9*Retentie!$D$27</f>
        <v>44.64</v>
      </c>
      <c r="AC3" s="23" t="n">
        <f aca="false">ModelBull!$F$9*Retentie!$D$28</f>
        <v>44.392</v>
      </c>
      <c r="AD3" s="23" t="n">
        <f aca="false">ModelBull!$F$9*Retentie!$D$29</f>
        <v>44.144</v>
      </c>
      <c r="AE3" s="23" t="n">
        <f aca="false">ModelBull!$F$9*Retentie!$D$30</f>
        <v>43.896</v>
      </c>
      <c r="AF3" s="23" t="n">
        <f aca="false">ModelBull!$F$9*Retentie!$D$31</f>
        <v>43.648</v>
      </c>
      <c r="AG3" s="23" t="n">
        <f aca="false">ModelBull!$F$9*Retentie!$D$32</f>
        <v>43.4</v>
      </c>
      <c r="AH3" s="23" t="n">
        <f aca="false">ModelBull!$F$9*Retentie!$D$33</f>
        <v>43.152</v>
      </c>
      <c r="AI3" s="23" t="n">
        <f aca="false">ModelBull!$F$9*Retentie!$D$34</f>
        <v>42.904</v>
      </c>
      <c r="AJ3" s="23" t="n">
        <f aca="false">ModelBull!$F$9*Retentie!$D$35</f>
        <v>42.656</v>
      </c>
      <c r="AK3" s="23" t="n">
        <f aca="false">ModelBull!$F$9*Retentie!$D$36</f>
        <v>42.408</v>
      </c>
    </row>
    <row r="4" customFormat="false" ht="15" hidden="false" customHeight="false" outlineLevel="0" collapsed="false">
      <c r="A4" s="5" t="n">
        <v>3</v>
      </c>
      <c r="D4" s="23" t="n">
        <f aca="false">ModelBull!$F$10*Retentie!$D$2</f>
        <v>262.88</v>
      </c>
      <c r="E4" s="23" t="n">
        <f aca="false">ModelBull!$F$10*Retentie!$D$3</f>
        <v>136.6976</v>
      </c>
      <c r="F4" s="23" t="n">
        <f aca="false">ModelBull!$F$10*Retentie!$D$4</f>
        <v>110.4096</v>
      </c>
      <c r="G4" s="23" t="n">
        <f aca="false">ModelBull!$F$10*Retentie!$D$5</f>
        <v>92.008</v>
      </c>
      <c r="H4" s="23" t="n">
        <f aca="false">ModelBull!$F$10*Retentie!$D$6</f>
        <v>81.4928</v>
      </c>
      <c r="I4" s="23" t="n">
        <f aca="false">ModelBull!$F$10*Retentie!$D$7</f>
        <v>73.6064</v>
      </c>
      <c r="J4" s="23" t="n">
        <f aca="false">ModelBull!$F$10*Retentie!$D$8</f>
        <v>68.3488</v>
      </c>
      <c r="K4" s="23" t="n">
        <f aca="false">ModelBull!$F$10*Retentie!$D$9</f>
        <v>64.4056</v>
      </c>
      <c r="L4" s="23" t="n">
        <f aca="false">ModelBull!$F$10*Retentie!$D$10</f>
        <v>61.7768</v>
      </c>
      <c r="M4" s="23" t="n">
        <f aca="false">ModelBull!$F$10*Retentie!$D$11</f>
        <v>59.148</v>
      </c>
      <c r="N4" s="23" t="n">
        <f aca="false">ModelBull!$F$10*Retentie!$D$12</f>
        <v>56.5192</v>
      </c>
      <c r="O4" s="23" t="n">
        <f aca="false">ModelBull!$F$10*Retentie!$D$13</f>
        <v>55.2048</v>
      </c>
      <c r="P4" s="23" t="n">
        <f aca="false">ModelBull!$F$10*Retentie!$D$14</f>
        <v>53.8904</v>
      </c>
      <c r="Q4" s="23" t="n">
        <f aca="false">ModelBull!$F$10*Retentie!$D$15</f>
        <v>52.576</v>
      </c>
      <c r="R4" s="23" t="n">
        <f aca="false">ModelBull!$F$10*Retentie!$D$16</f>
        <v>52.05024</v>
      </c>
      <c r="S4" s="23" t="n">
        <f aca="false">ModelBull!$F$10*Retentie!$D$17</f>
        <v>51.52448</v>
      </c>
      <c r="T4" s="23" t="n">
        <f aca="false">ModelBull!$F$10*Retentie!$D$18</f>
        <v>50.99872</v>
      </c>
      <c r="U4" s="23" t="n">
        <f aca="false">ModelBull!$F$10*Retentie!$D$19</f>
        <v>50.47296</v>
      </c>
      <c r="V4" s="23" t="n">
        <f aca="false">ModelBull!$F$10*Retentie!$D$20</f>
        <v>49.9472</v>
      </c>
      <c r="W4" s="23" t="n">
        <f aca="false">ModelBull!$F$10*Retentie!$D$21</f>
        <v>49.42144</v>
      </c>
      <c r="X4" s="23" t="n">
        <f aca="false">ModelBull!$F$10*Retentie!$D$22</f>
        <v>48.89568</v>
      </c>
      <c r="Y4" s="23" t="n">
        <f aca="false">ModelBull!$F$10*Retentie!$D$23</f>
        <v>48.36992</v>
      </c>
      <c r="Z4" s="23" t="n">
        <f aca="false">ModelBull!$F$10*Retentie!$D$24</f>
        <v>48.10704</v>
      </c>
      <c r="AA4" s="23" t="n">
        <f aca="false">ModelBull!$F$10*Retentie!$D$25</f>
        <v>47.84416</v>
      </c>
      <c r="AB4" s="23" t="n">
        <f aca="false">ModelBull!$F$10*Retentie!$D$26</f>
        <v>47.58128</v>
      </c>
      <c r="AC4" s="23" t="n">
        <f aca="false">ModelBull!$F$10*Retentie!$D$27</f>
        <v>47.3184</v>
      </c>
      <c r="AD4" s="23" t="n">
        <f aca="false">ModelBull!$F$10*Retentie!$D$28</f>
        <v>47.05552</v>
      </c>
      <c r="AE4" s="23" t="n">
        <f aca="false">ModelBull!$F$10*Retentie!$D$29</f>
        <v>46.79264</v>
      </c>
      <c r="AF4" s="23" t="n">
        <f aca="false">ModelBull!$F$10*Retentie!$D$30</f>
        <v>46.52976</v>
      </c>
      <c r="AG4" s="23" t="n">
        <f aca="false">ModelBull!$F$10*Retentie!$D$31</f>
        <v>46.26688</v>
      </c>
      <c r="AH4" s="23" t="n">
        <f aca="false">ModelBull!$F$10*Retentie!$D$32</f>
        <v>46.004</v>
      </c>
      <c r="AI4" s="23" t="n">
        <f aca="false">ModelBull!$F$10*Retentie!$D$33</f>
        <v>45.74112</v>
      </c>
      <c r="AJ4" s="23" t="n">
        <f aca="false">ModelBull!$F$10*Retentie!$D$34</f>
        <v>45.47824</v>
      </c>
      <c r="AK4" s="23" t="n">
        <f aca="false">ModelBull!$F$10*Retentie!$D$35</f>
        <v>45.21536</v>
      </c>
    </row>
    <row r="5" customFormat="false" ht="15" hidden="false" customHeight="false" outlineLevel="0" collapsed="false">
      <c r="A5" s="5" t="n">
        <v>4</v>
      </c>
      <c r="E5" s="23" t="n">
        <f aca="false">ModelBull!$F$11*Retentie!$D$2</f>
        <v>278.6528</v>
      </c>
      <c r="F5" s="23" t="n">
        <f aca="false">ModelBull!$F$11*Retentie!$D$3</f>
        <v>144.899456</v>
      </c>
      <c r="G5" s="23" t="n">
        <f aca="false">ModelBull!$F$11*Retentie!$D$4</f>
        <v>117.034176</v>
      </c>
      <c r="H5" s="23" t="n">
        <f aca="false">ModelBull!$F$11*Retentie!$D$5</f>
        <v>97.52848</v>
      </c>
      <c r="I5" s="23" t="n">
        <f aca="false">ModelBull!$F$11*Retentie!$D$6</f>
        <v>86.382368</v>
      </c>
      <c r="J5" s="23" t="n">
        <f aca="false">ModelBull!$F$11*Retentie!$D$7</f>
        <v>78.022784</v>
      </c>
      <c r="K5" s="23" t="n">
        <f aca="false">ModelBull!$F$11*Retentie!$D$8</f>
        <v>72.449728</v>
      </c>
      <c r="L5" s="23" t="n">
        <f aca="false">ModelBull!$F$11*Retentie!$D$9</f>
        <v>68.269936</v>
      </c>
      <c r="M5" s="23" t="n">
        <f aca="false">ModelBull!$F$11*Retentie!$D$10</f>
        <v>65.483408</v>
      </c>
      <c r="N5" s="23" t="n">
        <f aca="false">ModelBull!$F$11*Retentie!$D$11</f>
        <v>62.69688</v>
      </c>
      <c r="O5" s="23" t="n">
        <f aca="false">ModelBull!$F$11*Retentie!$D$12</f>
        <v>59.910352</v>
      </c>
      <c r="P5" s="23" t="n">
        <f aca="false">ModelBull!$F$11*Retentie!$D$13</f>
        <v>58.517088</v>
      </c>
      <c r="Q5" s="23" t="n">
        <f aca="false">ModelBull!$F$11*Retentie!$D$14</f>
        <v>57.123824</v>
      </c>
      <c r="R5" s="23" t="n">
        <f aca="false">ModelBull!$F$11*Retentie!$D$15</f>
        <v>55.73056</v>
      </c>
      <c r="S5" s="23" t="n">
        <f aca="false">ModelBull!$F$11*Retentie!$D$16</f>
        <v>55.1732544</v>
      </c>
      <c r="T5" s="23" t="n">
        <f aca="false">ModelBull!$F$11*Retentie!$D$17</f>
        <v>54.6159488</v>
      </c>
      <c r="U5" s="23" t="n">
        <f aca="false">ModelBull!$F$11*Retentie!$D$18</f>
        <v>54.0586432</v>
      </c>
      <c r="V5" s="23" t="n">
        <f aca="false">ModelBull!$F$11*Retentie!$D$19</f>
        <v>53.5013376</v>
      </c>
      <c r="W5" s="23" t="n">
        <f aca="false">ModelBull!$F$11*Retentie!$D$20</f>
        <v>52.944032</v>
      </c>
      <c r="X5" s="23" t="n">
        <f aca="false">ModelBull!$F$11*Retentie!$D$21</f>
        <v>52.3867264</v>
      </c>
      <c r="Y5" s="23" t="n">
        <f aca="false">ModelBull!$F$11*Retentie!$D$22</f>
        <v>51.8294208</v>
      </c>
      <c r="Z5" s="23" t="n">
        <f aca="false">ModelBull!$F$11*Retentie!$D$23</f>
        <v>51.2721152</v>
      </c>
      <c r="AA5" s="23" t="n">
        <f aca="false">ModelBull!$F$11*Retentie!$D$24</f>
        <v>50.9934624</v>
      </c>
      <c r="AB5" s="23" t="n">
        <f aca="false">ModelBull!$F$11*Retentie!$D$25</f>
        <v>50.7148096</v>
      </c>
      <c r="AC5" s="23" t="n">
        <f aca="false">ModelBull!$F$11*Retentie!$D$26</f>
        <v>50.4361568</v>
      </c>
      <c r="AD5" s="23" t="n">
        <f aca="false">ModelBull!$F$11*Retentie!$D$27</f>
        <v>50.157504</v>
      </c>
      <c r="AE5" s="23" t="n">
        <f aca="false">ModelBull!$F$11*Retentie!$D$28</f>
        <v>49.8788512</v>
      </c>
      <c r="AF5" s="23" t="n">
        <f aca="false">ModelBull!$F$11*Retentie!$D$29</f>
        <v>49.6001984</v>
      </c>
      <c r="AG5" s="23" t="n">
        <f aca="false">ModelBull!$F$11*Retentie!$D$30</f>
        <v>49.3215456</v>
      </c>
      <c r="AH5" s="23" t="n">
        <f aca="false">ModelBull!$F$11*Retentie!$D$31</f>
        <v>49.0428928</v>
      </c>
      <c r="AI5" s="23" t="n">
        <f aca="false">ModelBull!$F$11*Retentie!$D$32</f>
        <v>48.76424</v>
      </c>
      <c r="AJ5" s="23" t="n">
        <f aca="false">ModelBull!$F$11*Retentie!$D$33</f>
        <v>48.4855872</v>
      </c>
      <c r="AK5" s="23" t="n">
        <f aca="false">ModelBull!$F$11*Retentie!$D$34</f>
        <v>48.2069344</v>
      </c>
    </row>
    <row r="6" customFormat="false" ht="15" hidden="false" customHeight="false" outlineLevel="0" collapsed="false">
      <c r="A6" s="5" t="n">
        <v>5</v>
      </c>
      <c r="F6" s="23" t="n">
        <f aca="false">ModelBull!$F$12*Retentie!$D$2</f>
        <v>295.371968</v>
      </c>
      <c r="G6" s="23" t="n">
        <f aca="false">ModelBull!$F$12*Retentie!$D$3</f>
        <v>153.59342336</v>
      </c>
      <c r="H6" s="23" t="n">
        <f aca="false">ModelBull!$F$12*Retentie!$D$4</f>
        <v>124.05622656</v>
      </c>
      <c r="I6" s="23" t="n">
        <f aca="false">ModelBull!$F$12*Retentie!$D$5</f>
        <v>103.3801888</v>
      </c>
      <c r="J6" s="23" t="n">
        <f aca="false">ModelBull!$F$12*Retentie!$D$6</f>
        <v>91.56531008</v>
      </c>
      <c r="K6" s="23" t="n">
        <f aca="false">ModelBull!$F$12*Retentie!$D$7</f>
        <v>82.70415104</v>
      </c>
      <c r="L6" s="23" t="n">
        <f aca="false">ModelBull!$F$12*Retentie!$D$8</f>
        <v>76.79671168</v>
      </c>
      <c r="M6" s="23" t="n">
        <f aca="false">ModelBull!$F$12*Retentie!$D$9</f>
        <v>72.36613216</v>
      </c>
      <c r="N6" s="23" t="n">
        <f aca="false">ModelBull!$F$12*Retentie!$D$10</f>
        <v>69.41241248</v>
      </c>
      <c r="O6" s="23" t="n">
        <f aca="false">ModelBull!$F$12*Retentie!$D$11</f>
        <v>66.4586928</v>
      </c>
      <c r="P6" s="23" t="n">
        <f aca="false">ModelBull!$F$12*Retentie!$D$12</f>
        <v>63.50497312</v>
      </c>
      <c r="Q6" s="23" t="n">
        <f aca="false">ModelBull!$F$12*Retentie!$D$13</f>
        <v>62.02811328</v>
      </c>
      <c r="R6" s="23" t="n">
        <f aca="false">ModelBull!$F$12*Retentie!$D$14</f>
        <v>60.55125344</v>
      </c>
      <c r="S6" s="23" t="n">
        <f aca="false">ModelBull!$F$12*Retentie!$D$15</f>
        <v>59.0743936</v>
      </c>
      <c r="T6" s="23" t="n">
        <f aca="false">ModelBull!$F$12*Retentie!$D$16</f>
        <v>58.483649664</v>
      </c>
      <c r="U6" s="23" t="n">
        <f aca="false">ModelBull!$F$12*Retentie!$D$17</f>
        <v>57.892905728</v>
      </c>
      <c r="V6" s="23" t="n">
        <f aca="false">ModelBull!$F$12*Retentie!$D$18</f>
        <v>57.302161792</v>
      </c>
      <c r="W6" s="23" t="n">
        <f aca="false">ModelBull!$F$12*Retentie!$D$19</f>
        <v>56.711417856</v>
      </c>
      <c r="X6" s="23" t="n">
        <f aca="false">ModelBull!$F$12*Retentie!$D$20</f>
        <v>56.12067392</v>
      </c>
      <c r="Y6" s="23" t="n">
        <f aca="false">ModelBull!$F$12*Retentie!$D$21</f>
        <v>55.529929984</v>
      </c>
      <c r="Z6" s="23" t="n">
        <f aca="false">ModelBull!$F$12*Retentie!$D$22</f>
        <v>54.939186048</v>
      </c>
      <c r="AA6" s="23" t="n">
        <f aca="false">ModelBull!$F$12*Retentie!$D$23</f>
        <v>54.348442112</v>
      </c>
      <c r="AB6" s="23" t="n">
        <f aca="false">ModelBull!$F$12*Retentie!$D$24</f>
        <v>54.053070144</v>
      </c>
      <c r="AC6" s="23" t="n">
        <f aca="false">ModelBull!$F$12*Retentie!$D$25</f>
        <v>53.757698176</v>
      </c>
      <c r="AD6" s="23" t="n">
        <f aca="false">ModelBull!$F$12*Retentie!$D$26</f>
        <v>53.462326208</v>
      </c>
      <c r="AE6" s="23" t="n">
        <f aca="false">ModelBull!$F$12*Retentie!$D$27</f>
        <v>53.16695424</v>
      </c>
      <c r="AF6" s="23" t="n">
        <f aca="false">ModelBull!$F$12*Retentie!$D$28</f>
        <v>52.871582272</v>
      </c>
      <c r="AG6" s="23" t="n">
        <f aca="false">ModelBull!$F$12*Retentie!$D$29</f>
        <v>52.576210304</v>
      </c>
      <c r="AH6" s="23" t="n">
        <f aca="false">ModelBull!$F$12*Retentie!$D$30</f>
        <v>52.280838336</v>
      </c>
      <c r="AI6" s="23" t="n">
        <f aca="false">ModelBull!$F$12*Retentie!$D$31</f>
        <v>51.985466368</v>
      </c>
      <c r="AJ6" s="23" t="n">
        <f aca="false">ModelBull!$F$12*Retentie!$D$32</f>
        <v>51.6900944</v>
      </c>
      <c r="AK6" s="23" t="n">
        <f aca="false">ModelBull!$F$12*Retentie!$D$33</f>
        <v>51.394722432</v>
      </c>
    </row>
    <row r="7" customFormat="false" ht="15" hidden="false" customHeight="false" outlineLevel="0" collapsed="false">
      <c r="A7" s="5" t="n">
        <v>6</v>
      </c>
      <c r="G7" s="23" t="n">
        <f aca="false">ModelBull!$F$13*Retentie!$D$2</f>
        <v>313.09428608</v>
      </c>
      <c r="H7" s="23" t="n">
        <f aca="false">ModelBull!$F$13*Retentie!$D$3</f>
        <v>162.8090287616</v>
      </c>
      <c r="I7" s="23" t="n">
        <f aca="false">ModelBull!$F$13*Retentie!$D$4</f>
        <v>131.4996001536</v>
      </c>
      <c r="J7" s="23" t="n">
        <f aca="false">ModelBull!$F$13*Retentie!$D$5</f>
        <v>109.583000128</v>
      </c>
      <c r="K7" s="23" t="n">
        <f aca="false">ModelBull!$F$13*Retentie!$D$6</f>
        <v>97.0592286848</v>
      </c>
      <c r="L7" s="23" t="n">
        <f aca="false">ModelBull!$F$13*Retentie!$D$7</f>
        <v>87.6664001024</v>
      </c>
      <c r="M7" s="23" t="n">
        <f aca="false">ModelBull!$F$13*Retentie!$D$8</f>
        <v>81.4045143808</v>
      </c>
      <c r="N7" s="23" t="n">
        <f aca="false">ModelBull!$F$13*Retentie!$D$9</f>
        <v>76.7081000896</v>
      </c>
      <c r="O7" s="23" t="n">
        <f aca="false">ModelBull!$F$13*Retentie!$D$10</f>
        <v>73.5771572288</v>
      </c>
      <c r="P7" s="23" t="n">
        <f aca="false">ModelBull!$F$13*Retentie!$D$11</f>
        <v>70.446214368</v>
      </c>
      <c r="Q7" s="23" t="n">
        <f aca="false">ModelBull!$F$13*Retentie!$D$12</f>
        <v>67.3152715072</v>
      </c>
      <c r="R7" s="23" t="n">
        <f aca="false">ModelBull!$F$13*Retentie!$D$13</f>
        <v>65.7498000768</v>
      </c>
      <c r="S7" s="23" t="n">
        <f aca="false">ModelBull!$F$13*Retentie!$D$14</f>
        <v>64.1843286464</v>
      </c>
      <c r="T7" s="23" t="n">
        <f aca="false">ModelBull!$F$13*Retentie!$D$15</f>
        <v>62.618857216</v>
      </c>
      <c r="U7" s="23" t="n">
        <f aca="false">ModelBull!$F$13*Retentie!$D$16</f>
        <v>61.99266864384</v>
      </c>
      <c r="V7" s="23" t="n">
        <f aca="false">ModelBull!$F$13*Retentie!$D$17</f>
        <v>61.36648007168</v>
      </c>
      <c r="W7" s="23" t="n">
        <f aca="false">ModelBull!$F$13*Retentie!$D$18</f>
        <v>60.74029149952</v>
      </c>
      <c r="X7" s="23" t="n">
        <f aca="false">ModelBull!$F$13*Retentie!$D$19</f>
        <v>60.11410292736</v>
      </c>
      <c r="Y7" s="23" t="n">
        <f aca="false">ModelBull!$F$13*Retentie!$D$20</f>
        <v>59.4879143552</v>
      </c>
      <c r="Z7" s="23" t="n">
        <f aca="false">ModelBull!$F$13*Retentie!$D$21</f>
        <v>58.86172578304</v>
      </c>
      <c r="AA7" s="23" t="n">
        <f aca="false">ModelBull!$F$13*Retentie!$D$22</f>
        <v>58.23553721088</v>
      </c>
      <c r="AB7" s="23" t="n">
        <f aca="false">ModelBull!$F$13*Retentie!$D$23</f>
        <v>57.60934863872</v>
      </c>
      <c r="AC7" s="23" t="n">
        <f aca="false">ModelBull!$F$13*Retentie!$D$24</f>
        <v>57.29625435264</v>
      </c>
      <c r="AD7" s="23" t="n">
        <f aca="false">ModelBull!$F$13*Retentie!$D$25</f>
        <v>56.98316006656</v>
      </c>
      <c r="AE7" s="23" t="n">
        <f aca="false">ModelBull!$F$13*Retentie!$D$26</f>
        <v>56.67006578048</v>
      </c>
      <c r="AF7" s="23" t="n">
        <f aca="false">ModelBull!$F$13*Retentie!$D$27</f>
        <v>56.3569714944</v>
      </c>
      <c r="AG7" s="23" t="n">
        <f aca="false">ModelBull!$F$13*Retentie!$D$28</f>
        <v>56.04387720832</v>
      </c>
      <c r="AH7" s="23" t="n">
        <f aca="false">ModelBull!$F$13*Retentie!$D$29</f>
        <v>55.73078292224</v>
      </c>
      <c r="AI7" s="23" t="n">
        <f aca="false">ModelBull!$F$13*Retentie!$D$30</f>
        <v>55.41768863616</v>
      </c>
      <c r="AJ7" s="23" t="n">
        <f aca="false">ModelBull!$F$13*Retentie!$D$31</f>
        <v>55.10459435008</v>
      </c>
      <c r="AK7" s="23" t="n">
        <f aca="false">ModelBull!$F$13*Retentie!$D$32</f>
        <v>54.791500064</v>
      </c>
    </row>
    <row r="8" customFormat="false" ht="15" hidden="false" customHeight="false" outlineLevel="0" collapsed="false">
      <c r="A8" s="5" t="n">
        <v>7</v>
      </c>
      <c r="H8" s="23" t="n">
        <f aca="false">ModelBull!$F$14*Retentie!$D$2</f>
        <v>331.8799432448</v>
      </c>
      <c r="I8" s="23" t="n">
        <f aca="false">ModelBull!$F$14*Retentie!$D$3</f>
        <v>172.577570487296</v>
      </c>
      <c r="J8" s="23" t="n">
        <f aca="false">ModelBull!$F$14*Retentie!$D$4</f>
        <v>139.389576162816</v>
      </c>
      <c r="K8" s="23" t="n">
        <f aca="false">ModelBull!$F$14*Retentie!$D$5</f>
        <v>116.15798013568</v>
      </c>
      <c r="L8" s="23" t="n">
        <f aca="false">ModelBull!$F$14*Retentie!$D$6</f>
        <v>102.882782405888</v>
      </c>
      <c r="M8" s="23" t="n">
        <f aca="false">ModelBull!$F$14*Retentie!$D$7</f>
        <v>92.926384108544</v>
      </c>
      <c r="N8" s="23" t="n">
        <f aca="false">ModelBull!$F$14*Retentie!$D$8</f>
        <v>86.288785243648</v>
      </c>
      <c r="O8" s="23" t="n">
        <f aca="false">ModelBull!$F$14*Retentie!$D$9</f>
        <v>81.310586094976</v>
      </c>
      <c r="P8" s="23" t="n">
        <f aca="false">ModelBull!$F$14*Retentie!$D$10</f>
        <v>77.991786662528</v>
      </c>
      <c r="Q8" s="23" t="n">
        <f aca="false">ModelBull!$F$14*Retentie!$D$11</f>
        <v>74.67298723008</v>
      </c>
      <c r="R8" s="23" t="n">
        <f aca="false">ModelBull!$F$14*Retentie!$D$12</f>
        <v>71.354187797632</v>
      </c>
      <c r="S8" s="23" t="n">
        <f aca="false">ModelBull!$F$14*Retentie!$D$13</f>
        <v>69.694788081408</v>
      </c>
      <c r="T8" s="23" t="n">
        <f aca="false">ModelBull!$F$14*Retentie!$D$14</f>
        <v>68.035388365184</v>
      </c>
      <c r="U8" s="23" t="n">
        <f aca="false">ModelBull!$F$14*Retentie!$D$15</f>
        <v>66.37598864896</v>
      </c>
      <c r="V8" s="23" t="n">
        <f aca="false">ModelBull!$F$14*Retentie!$D$16</f>
        <v>65.7122287624704</v>
      </c>
      <c r="W8" s="23" t="n">
        <f aca="false">ModelBull!$F$14*Retentie!$D$17</f>
        <v>65.0484688759808</v>
      </c>
      <c r="X8" s="23" t="n">
        <f aca="false">ModelBull!$F$14*Retentie!$D$18</f>
        <v>64.3847089894912</v>
      </c>
      <c r="Y8" s="23" t="n">
        <f aca="false">ModelBull!$F$14*Retentie!$D$19</f>
        <v>63.7209491030016</v>
      </c>
      <c r="Z8" s="23" t="n">
        <f aca="false">ModelBull!$F$14*Retentie!$D$20</f>
        <v>63.057189216512</v>
      </c>
      <c r="AA8" s="23" t="n">
        <f aca="false">ModelBull!$F$14*Retentie!$D$21</f>
        <v>62.3934293300224</v>
      </c>
      <c r="AB8" s="23" t="n">
        <f aca="false">ModelBull!$F$14*Retentie!$D$22</f>
        <v>61.7296694435328</v>
      </c>
      <c r="AC8" s="23" t="n">
        <f aca="false">ModelBull!$F$14*Retentie!$D$23</f>
        <v>61.0659095570432</v>
      </c>
      <c r="AD8" s="23" t="n">
        <f aca="false">ModelBull!$F$14*Retentie!$D$24</f>
        <v>60.7340296137984</v>
      </c>
      <c r="AE8" s="23" t="n">
        <f aca="false">ModelBull!$F$14*Retentie!$D$25</f>
        <v>60.4021496705536</v>
      </c>
      <c r="AF8" s="23" t="n">
        <f aca="false">ModelBull!$F$14*Retentie!$D$26</f>
        <v>60.0702697273088</v>
      </c>
      <c r="AG8" s="23" t="n">
        <f aca="false">ModelBull!$F$14*Retentie!$D$27</f>
        <v>59.738389784064</v>
      </c>
      <c r="AH8" s="23" t="n">
        <f aca="false">ModelBull!$F$14*Retentie!$D$28</f>
        <v>59.4065098408192</v>
      </c>
      <c r="AI8" s="23" t="n">
        <f aca="false">ModelBull!$F$14*Retentie!$D$29</f>
        <v>59.0746298975744</v>
      </c>
      <c r="AJ8" s="23" t="n">
        <f aca="false">ModelBull!$F$14*Retentie!$D$30</f>
        <v>58.7427499543296</v>
      </c>
      <c r="AK8" s="23" t="n">
        <f aca="false">ModelBull!$F$14*Retentie!$D$31</f>
        <v>58.4108700110848</v>
      </c>
    </row>
    <row r="9" customFormat="false" ht="15" hidden="false" customHeight="false" outlineLevel="0" collapsed="false">
      <c r="A9" s="5" t="n">
        <v>8</v>
      </c>
      <c r="I9" s="23" t="n">
        <f aca="false">ModelBull!$F$15*Retentie!$D$2</f>
        <v>351.792739839488</v>
      </c>
      <c r="J9" s="23" t="n">
        <f aca="false">ModelBull!$F$15*Retentie!$D$3</f>
        <v>182.932224716534</v>
      </c>
      <c r="K9" s="23" t="n">
        <f aca="false">ModelBull!$F$15*Retentie!$D$4</f>
        <v>147.752950732585</v>
      </c>
      <c r="L9" s="23" t="n">
        <f aca="false">ModelBull!$F$15*Retentie!$D$5</f>
        <v>123.127458943821</v>
      </c>
      <c r="M9" s="23" t="n">
        <f aca="false">ModelBull!$F$15*Retentie!$D$6</f>
        <v>109.055749350241</v>
      </c>
      <c r="N9" s="23" t="n">
        <f aca="false">ModelBull!$F$15*Retentie!$D$7</f>
        <v>98.5019671550567</v>
      </c>
      <c r="O9" s="23" t="n">
        <f aca="false">ModelBull!$F$15*Retentie!$D$8</f>
        <v>91.4661123582669</v>
      </c>
      <c r="P9" s="23" t="n">
        <f aca="false">ModelBull!$F$15*Retentie!$D$9</f>
        <v>86.1892212606746</v>
      </c>
      <c r="Q9" s="23" t="n">
        <f aca="false">ModelBull!$F$15*Retentie!$D$10</f>
        <v>82.6712938622797</v>
      </c>
      <c r="R9" s="23" t="n">
        <f aca="false">ModelBull!$F$15*Retentie!$D$11</f>
        <v>79.1533664638848</v>
      </c>
      <c r="S9" s="23" t="n">
        <f aca="false">ModelBull!$F$15*Retentie!$D$12</f>
        <v>75.6354390654899</v>
      </c>
      <c r="T9" s="23" t="n">
        <f aca="false">ModelBull!$F$15*Retentie!$D$13</f>
        <v>73.8764753662925</v>
      </c>
      <c r="U9" s="23" t="n">
        <f aca="false">ModelBull!$F$15*Retentie!$D$14</f>
        <v>72.1175116670951</v>
      </c>
      <c r="V9" s="23" t="n">
        <f aca="false">ModelBull!$F$15*Retentie!$D$15</f>
        <v>70.3585479678976</v>
      </c>
      <c r="W9" s="23" t="n">
        <f aca="false">ModelBull!$F$15*Retentie!$D$16</f>
        <v>69.6549624882186</v>
      </c>
      <c r="X9" s="23" t="n">
        <f aca="false">ModelBull!$F$15*Retentie!$D$17</f>
        <v>68.9513770085397</v>
      </c>
      <c r="Y9" s="23" t="n">
        <f aca="false">ModelBull!$F$15*Retentie!$D$18</f>
        <v>68.2477915288607</v>
      </c>
      <c r="Z9" s="23" t="n">
        <f aca="false">ModelBull!$F$15*Retentie!$D$19</f>
        <v>67.5442060491817</v>
      </c>
      <c r="AA9" s="23" t="n">
        <f aca="false">ModelBull!$F$15*Retentie!$D$20</f>
        <v>66.8406205695027</v>
      </c>
      <c r="AB9" s="23" t="n">
        <f aca="false">ModelBull!$F$15*Retentie!$D$21</f>
        <v>66.1370350898238</v>
      </c>
      <c r="AC9" s="23" t="n">
        <f aca="false">ModelBull!$F$15*Retentie!$D$22</f>
        <v>65.4334496101448</v>
      </c>
      <c r="AD9" s="23" t="n">
        <f aca="false">ModelBull!$F$15*Retentie!$D$23</f>
        <v>64.7298641304658</v>
      </c>
      <c r="AE9" s="23" t="n">
        <f aca="false">ModelBull!$F$15*Retentie!$D$24</f>
        <v>64.3780713906263</v>
      </c>
      <c r="AF9" s="23" t="n">
        <f aca="false">ModelBull!$F$15*Retentie!$D$25</f>
        <v>64.0262786507868</v>
      </c>
      <c r="AG9" s="23" t="n">
        <f aca="false">ModelBull!$F$15*Retentie!$D$26</f>
        <v>63.6744859109473</v>
      </c>
      <c r="AH9" s="23" t="n">
        <f aca="false">ModelBull!$F$15*Retentie!$D$27</f>
        <v>63.3226931711079</v>
      </c>
      <c r="AI9" s="23" t="n">
        <f aca="false">ModelBull!$F$15*Retentie!$D$28</f>
        <v>62.9709004312684</v>
      </c>
      <c r="AJ9" s="23" t="n">
        <f aca="false">ModelBull!$F$15*Retentie!$D$29</f>
        <v>62.6191076914289</v>
      </c>
      <c r="AK9" s="23" t="n">
        <f aca="false">ModelBull!$F$15*Retentie!$D$30</f>
        <v>62.2673149515894</v>
      </c>
    </row>
    <row r="10" customFormat="false" ht="15" hidden="false" customHeight="false" outlineLevel="0" collapsed="false">
      <c r="A10" s="5" t="n">
        <v>9</v>
      </c>
      <c r="J10" s="23" t="n">
        <f aca="false">ModelBull!$F$16*Retentie!$D$2</f>
        <v>372.900304229857</v>
      </c>
      <c r="K10" s="23" t="n">
        <f aca="false">ModelBull!$F$16*Retentie!$D$3</f>
        <v>193.908158199526</v>
      </c>
      <c r="L10" s="23" t="n">
        <f aca="false">ModelBull!$F$16*Retentie!$D$4</f>
        <v>156.61812777654</v>
      </c>
      <c r="M10" s="23" t="n">
        <f aca="false">ModelBull!$F$16*Retentie!$D$5</f>
        <v>130.51510648045</v>
      </c>
      <c r="N10" s="23" t="n">
        <f aca="false">ModelBull!$F$16*Retentie!$D$6</f>
        <v>115.599094311256</v>
      </c>
      <c r="O10" s="23" t="n">
        <f aca="false">ModelBull!$F$16*Retentie!$D$7</f>
        <v>104.41208518436</v>
      </c>
      <c r="P10" s="23" t="n">
        <f aca="false">ModelBull!$F$16*Retentie!$D$8</f>
        <v>96.9540790997629</v>
      </c>
      <c r="Q10" s="23" t="n">
        <f aca="false">ModelBull!$F$16*Retentie!$D$9</f>
        <v>91.3605745363151</v>
      </c>
      <c r="R10" s="23" t="n">
        <f aca="false">ModelBull!$F$16*Retentie!$D$10</f>
        <v>87.6315714940165</v>
      </c>
      <c r="S10" s="23" t="n">
        <f aca="false">ModelBull!$F$16*Retentie!$D$11</f>
        <v>83.9025684517179</v>
      </c>
      <c r="T10" s="23" t="n">
        <f aca="false">ModelBull!$F$16*Retentie!$D$12</f>
        <v>80.1735654094194</v>
      </c>
      <c r="U10" s="23" t="n">
        <f aca="false">ModelBull!$F$16*Retentie!$D$13</f>
        <v>78.3090638882701</v>
      </c>
      <c r="V10" s="23" t="n">
        <f aca="false">ModelBull!$F$16*Retentie!$D$14</f>
        <v>76.4445623671208</v>
      </c>
      <c r="W10" s="23" t="n">
        <f aca="false">ModelBull!$F$16*Retentie!$D$15</f>
        <v>74.5800608459715</v>
      </c>
      <c r="X10" s="23" t="n">
        <f aca="false">ModelBull!$F$16*Retentie!$D$16</f>
        <v>73.8342602375118</v>
      </c>
      <c r="Y10" s="23" t="n">
        <f aca="false">ModelBull!$F$16*Retentie!$D$17</f>
        <v>73.0884596290521</v>
      </c>
      <c r="Z10" s="23" t="n">
        <f aca="false">ModelBull!$F$16*Retentie!$D$18</f>
        <v>72.3426590205924</v>
      </c>
      <c r="AA10" s="23" t="n">
        <f aca="false">ModelBull!$F$16*Retentie!$D$19</f>
        <v>71.5968584121326</v>
      </c>
      <c r="AB10" s="23" t="n">
        <f aca="false">ModelBull!$F$16*Retentie!$D$20</f>
        <v>70.8510578036729</v>
      </c>
      <c r="AC10" s="23" t="n">
        <f aca="false">ModelBull!$F$16*Retentie!$D$21</f>
        <v>70.1052571952132</v>
      </c>
      <c r="AD10" s="23" t="n">
        <f aca="false">ModelBull!$F$16*Retentie!$D$22</f>
        <v>69.3594565867535</v>
      </c>
      <c r="AE10" s="23" t="n">
        <f aca="false">ModelBull!$F$16*Retentie!$D$23</f>
        <v>68.6136559782938</v>
      </c>
      <c r="AF10" s="23" t="n">
        <f aca="false">ModelBull!$F$16*Retentie!$D$24</f>
        <v>68.2407556740639</v>
      </c>
      <c r="AG10" s="23" t="n">
        <f aca="false">ModelBull!$F$16*Retentie!$D$25</f>
        <v>67.8678553698341</v>
      </c>
      <c r="AH10" s="23" t="n">
        <f aca="false">ModelBull!$F$16*Retentie!$D$26</f>
        <v>67.4949550656042</v>
      </c>
      <c r="AI10" s="23" t="n">
        <f aca="false">ModelBull!$F$16*Retentie!$D$27</f>
        <v>67.1220547613743</v>
      </c>
      <c r="AJ10" s="23" t="n">
        <f aca="false">ModelBull!$F$16*Retentie!$D$28</f>
        <v>66.7491544571445</v>
      </c>
      <c r="AK10" s="23" t="n">
        <f aca="false">ModelBull!$F$16*Retentie!$D$29</f>
        <v>66.3762541529146</v>
      </c>
    </row>
    <row r="11" customFormat="false" ht="15" hidden="false" customHeight="false" outlineLevel="0" collapsed="false">
      <c r="A11" s="5" t="n">
        <v>10</v>
      </c>
      <c r="K11" s="23" t="n">
        <f aca="false">ModelBull!$F$17*Retentie!$D$2</f>
        <v>395.274322483649</v>
      </c>
      <c r="L11" s="23" t="n">
        <f aca="false">ModelBull!$F$17*Retentie!$D$3</f>
        <v>205.542647691497</v>
      </c>
      <c r="M11" s="23" t="n">
        <f aca="false">ModelBull!$F$17*Retentie!$D$4</f>
        <v>166.015215443133</v>
      </c>
      <c r="N11" s="23" t="n">
        <f aca="false">ModelBull!$F$17*Retentie!$D$5</f>
        <v>138.346012869277</v>
      </c>
      <c r="O11" s="23" t="n">
        <f aca="false">ModelBull!$F$17*Retentie!$D$6</f>
        <v>122.535039969931</v>
      </c>
      <c r="P11" s="23" t="n">
        <f aca="false">ModelBull!$F$17*Retentie!$D$7</f>
        <v>110.676810295422</v>
      </c>
      <c r="Q11" s="23" t="n">
        <f aca="false">ModelBull!$F$17*Retentie!$D$8</f>
        <v>102.771323845749</v>
      </c>
      <c r="R11" s="23" t="n">
        <f aca="false">ModelBull!$F$17*Retentie!$D$9</f>
        <v>96.842209008494</v>
      </c>
      <c r="S11" s="23" t="n">
        <f aca="false">ModelBull!$F$17*Retentie!$D$10</f>
        <v>92.8894657836575</v>
      </c>
      <c r="T11" s="23" t="n">
        <f aca="false">ModelBull!$F$17*Retentie!$D$11</f>
        <v>88.936722558821</v>
      </c>
      <c r="U11" s="23" t="n">
        <f aca="false">ModelBull!$F$17*Retentie!$D$12</f>
        <v>84.9839793339845</v>
      </c>
      <c r="V11" s="23" t="n">
        <f aca="false">ModelBull!$F$17*Retentie!$D$13</f>
        <v>83.0076077215663</v>
      </c>
      <c r="W11" s="23" t="n">
        <f aca="false">ModelBull!$F$17*Retentie!$D$14</f>
        <v>81.031236109148</v>
      </c>
      <c r="X11" s="23" t="n">
        <f aca="false">ModelBull!$F$17*Retentie!$D$15</f>
        <v>79.0548644967298</v>
      </c>
      <c r="Y11" s="23" t="n">
        <f aca="false">ModelBull!$F$17*Retentie!$D$16</f>
        <v>78.2643158517625</v>
      </c>
      <c r="Z11" s="23" t="n">
        <f aca="false">ModelBull!$F$17*Retentie!$D$17</f>
        <v>77.4737672067952</v>
      </c>
      <c r="AA11" s="23" t="n">
        <f aca="false">ModelBull!$F$17*Retentie!$D$18</f>
        <v>76.6832185618279</v>
      </c>
      <c r="AB11" s="23" t="n">
        <f aca="false">ModelBull!$F$17*Retentie!$D$19</f>
        <v>75.8926699168606</v>
      </c>
      <c r="AC11" s="23" t="n">
        <f aca="false">ModelBull!$F$17*Retentie!$D$20</f>
        <v>75.1021212718933</v>
      </c>
      <c r="AD11" s="23" t="n">
        <f aca="false">ModelBull!$F$17*Retentie!$D$21</f>
        <v>74.311572626926</v>
      </c>
      <c r="AE11" s="23" t="n">
        <f aca="false">ModelBull!$F$17*Retentie!$D$22</f>
        <v>73.5210239819587</v>
      </c>
      <c r="AF11" s="23" t="n">
        <f aca="false">ModelBull!$F$17*Retentie!$D$23</f>
        <v>72.7304753369914</v>
      </c>
      <c r="AG11" s="23" t="n">
        <f aca="false">ModelBull!$F$17*Retentie!$D$24</f>
        <v>72.3352010145078</v>
      </c>
      <c r="AH11" s="23" t="n">
        <f aca="false">ModelBull!$F$17*Retentie!$D$25</f>
        <v>71.9399266920241</v>
      </c>
      <c r="AI11" s="23" t="n">
        <f aca="false">ModelBull!$F$17*Retentie!$D$26</f>
        <v>71.5446523695404</v>
      </c>
      <c r="AJ11" s="23" t="n">
        <f aca="false">ModelBull!$F$17*Retentie!$D$27</f>
        <v>71.1493780470568</v>
      </c>
      <c r="AK11" s="23" t="n">
        <f aca="false">ModelBull!$F$17*Retentie!$D$28</f>
        <v>70.7541037245731</v>
      </c>
    </row>
    <row r="12" customFormat="false" ht="15" hidden="false" customHeight="false" outlineLevel="0" collapsed="false">
      <c r="A12" s="5" t="n">
        <v>11</v>
      </c>
      <c r="L12" s="23" t="n">
        <f aca="false">ModelBull!$F$18*Retentie!$D$2</f>
        <v>418.990781832668</v>
      </c>
      <c r="M12" s="23" t="n">
        <f aca="false">ModelBull!$F$18*Retentie!$D$3</f>
        <v>217.875206552987</v>
      </c>
      <c r="N12" s="23" t="n">
        <f aca="false">ModelBull!$F$18*Retentie!$D$4</f>
        <v>175.97612836972</v>
      </c>
      <c r="O12" s="23" t="n">
        <f aca="false">ModelBull!$F$18*Retentie!$D$5</f>
        <v>146.646773641434</v>
      </c>
      <c r="P12" s="23" t="n">
        <f aca="false">ModelBull!$F$18*Retentie!$D$6</f>
        <v>129.887142368127</v>
      </c>
      <c r="Q12" s="23" t="n">
        <f aca="false">ModelBull!$F$18*Retentie!$D$7</f>
        <v>117.317418913147</v>
      </c>
      <c r="R12" s="23" t="n">
        <f aca="false">ModelBull!$F$18*Retentie!$D$8</f>
        <v>108.937603276494</v>
      </c>
      <c r="S12" s="23" t="n">
        <f aca="false">ModelBull!$F$18*Retentie!$D$9</f>
        <v>102.652741549004</v>
      </c>
      <c r="T12" s="23" t="n">
        <f aca="false">ModelBull!$F$18*Retentie!$D$10</f>
        <v>98.4628337306769</v>
      </c>
      <c r="U12" s="23" t="n">
        <f aca="false">ModelBull!$F$18*Retentie!$D$11</f>
        <v>94.2729259123503</v>
      </c>
      <c r="V12" s="23" t="n">
        <f aca="false">ModelBull!$F$18*Retentie!$D$12</f>
        <v>90.0830180940236</v>
      </c>
      <c r="W12" s="23" t="n">
        <f aca="false">ModelBull!$F$18*Retentie!$D$13</f>
        <v>87.9880641848602</v>
      </c>
      <c r="X12" s="23" t="n">
        <f aca="false">ModelBull!$F$18*Retentie!$D$14</f>
        <v>85.8931102756969</v>
      </c>
      <c r="Y12" s="23" t="n">
        <f aca="false">ModelBull!$F$18*Retentie!$D$15</f>
        <v>83.7981563665336</v>
      </c>
      <c r="Z12" s="23" t="n">
        <f aca="false">ModelBull!$F$18*Retentie!$D$16</f>
        <v>82.9601748028682</v>
      </c>
      <c r="AA12" s="23" t="n">
        <f aca="false">ModelBull!$F$18*Retentie!$D$17</f>
        <v>82.1221932392029</v>
      </c>
      <c r="AB12" s="23" t="n">
        <f aca="false">ModelBull!$F$18*Retentie!$D$18</f>
        <v>81.2842116755376</v>
      </c>
      <c r="AC12" s="23" t="n">
        <f aca="false">ModelBull!$F$18*Retentie!$D$19</f>
        <v>80.4462301118722</v>
      </c>
      <c r="AD12" s="23" t="n">
        <f aca="false">ModelBull!$F$18*Retentie!$D$20</f>
        <v>79.6082485482069</v>
      </c>
      <c r="AE12" s="23" t="n">
        <f aca="false">ModelBull!$F$18*Retentie!$D$21</f>
        <v>78.7702669845416</v>
      </c>
      <c r="AF12" s="23" t="n">
        <f aca="false">ModelBull!$F$18*Retentie!$D$22</f>
        <v>77.9322854208762</v>
      </c>
      <c r="AG12" s="23" t="n">
        <f aca="false">ModelBull!$F$18*Retentie!$D$23</f>
        <v>77.0943038572109</v>
      </c>
      <c r="AH12" s="23" t="n">
        <f aca="false">ModelBull!$F$18*Retentie!$D$24</f>
        <v>76.6753130753782</v>
      </c>
      <c r="AI12" s="23" t="n">
        <f aca="false">ModelBull!$F$18*Retentie!$D$25</f>
        <v>76.2563222935455</v>
      </c>
      <c r="AJ12" s="23" t="n">
        <f aca="false">ModelBull!$F$18*Retentie!$D$26</f>
        <v>75.8373315117129</v>
      </c>
      <c r="AK12" s="23" t="n">
        <f aca="false">ModelBull!$F$18*Retentie!$D$27</f>
        <v>75.4183407298802</v>
      </c>
    </row>
    <row r="13" customFormat="false" ht="15" hidden="false" customHeight="false" outlineLevel="0" collapsed="false">
      <c r="A13" s="5" t="n">
        <v>12</v>
      </c>
      <c r="M13" s="23" t="n">
        <f aca="false">ModelBull!$F$19*Retentie!$D$2</f>
        <v>444.130228742628</v>
      </c>
      <c r="N13" s="23" t="n">
        <f aca="false">ModelBull!$F$19*Retentie!$D$3</f>
        <v>230.947718946167</v>
      </c>
      <c r="O13" s="23" t="n">
        <f aca="false">ModelBull!$F$19*Retentie!$D$4</f>
        <v>186.534696071904</v>
      </c>
      <c r="P13" s="23" t="n">
        <f aca="false">ModelBull!$F$19*Retentie!$D$5</f>
        <v>155.44558005992</v>
      </c>
      <c r="Q13" s="23" t="n">
        <f aca="false">ModelBull!$F$19*Retentie!$D$6</f>
        <v>137.680370910215</v>
      </c>
      <c r="R13" s="23" t="n">
        <f aca="false">ModelBull!$F$19*Retentie!$D$7</f>
        <v>124.356464047936</v>
      </c>
      <c r="S13" s="23" t="n">
        <f aca="false">ModelBull!$F$19*Retentie!$D$8</f>
        <v>115.473859473083</v>
      </c>
      <c r="T13" s="23" t="n">
        <f aca="false">ModelBull!$F$19*Retentie!$D$9</f>
        <v>108.811906041944</v>
      </c>
      <c r="U13" s="23" t="n">
        <f aca="false">ModelBull!$F$19*Retentie!$D$10</f>
        <v>104.370603754518</v>
      </c>
      <c r="V13" s="23" t="n">
        <f aca="false">ModelBull!$F$19*Retentie!$D$11</f>
        <v>99.9293014670913</v>
      </c>
      <c r="W13" s="23" t="n">
        <f aca="false">ModelBull!$F$19*Retentie!$D$12</f>
        <v>95.487999179665</v>
      </c>
      <c r="X13" s="23" t="n">
        <f aca="false">ModelBull!$F$19*Retentie!$D$13</f>
        <v>93.2673480359519</v>
      </c>
      <c r="Y13" s="23" t="n">
        <f aca="false">ModelBull!$F$19*Retentie!$D$14</f>
        <v>91.0466968922387</v>
      </c>
      <c r="Z13" s="23" t="n">
        <f aca="false">ModelBull!$F$19*Retentie!$D$15</f>
        <v>88.8260457485256</v>
      </c>
      <c r="AA13" s="23" t="n">
        <f aca="false">ModelBull!$F$19*Retentie!$D$16</f>
        <v>87.9377852910403</v>
      </c>
      <c r="AB13" s="23" t="n">
        <f aca="false">ModelBull!$F$19*Retentie!$D$17</f>
        <v>87.0495248335551</v>
      </c>
      <c r="AC13" s="23" t="n">
        <f aca="false">ModelBull!$F$19*Retentie!$D$18</f>
        <v>86.1612643760698</v>
      </c>
      <c r="AD13" s="23" t="n">
        <f aca="false">ModelBull!$F$19*Retentie!$D$19</f>
        <v>85.2730039185846</v>
      </c>
      <c r="AE13" s="23" t="n">
        <f aca="false">ModelBull!$F$19*Retentie!$D$20</f>
        <v>84.3847434610993</v>
      </c>
      <c r="AF13" s="23" t="n">
        <f aca="false">ModelBull!$F$19*Retentie!$D$21</f>
        <v>83.4964830036141</v>
      </c>
      <c r="AG13" s="23" t="n">
        <f aca="false">ModelBull!$F$19*Retentie!$D$22</f>
        <v>82.6082225461288</v>
      </c>
      <c r="AH13" s="23" t="n">
        <f aca="false">ModelBull!$F$19*Retentie!$D$23</f>
        <v>81.7199620886435</v>
      </c>
      <c r="AI13" s="23" t="n">
        <f aca="false">ModelBull!$F$19*Retentie!$D$24</f>
        <v>81.2758318599009</v>
      </c>
      <c r="AJ13" s="23" t="n">
        <f aca="false">ModelBull!$F$19*Retentie!$D$25</f>
        <v>80.8317016311583</v>
      </c>
      <c r="AK13" s="23" t="n">
        <f aca="false">ModelBull!$F$19*Retentie!$D$26</f>
        <v>80.3875714024157</v>
      </c>
    </row>
    <row r="14" customFormat="false" ht="15" hidden="false" customHeight="false" outlineLevel="0" collapsed="false">
      <c r="A14" s="5" t="n">
        <v>13</v>
      </c>
      <c r="N14" s="23" t="n">
        <f aca="false">ModelBull!$F$20*Retentie!$D$2</f>
        <v>1957.72314863515</v>
      </c>
      <c r="O14" s="23" t="n">
        <f aca="false">ModelBull!$F$20*Retentie!$D$3</f>
        <v>1018.01603729028</v>
      </c>
      <c r="P14" s="23" t="n">
        <f aca="false">ModelBull!$F$20*Retentie!$D$4</f>
        <v>822.243722426763</v>
      </c>
      <c r="Q14" s="23" t="n">
        <f aca="false">ModelBull!$F$20*Retentie!$D$5</f>
        <v>685.203102022302</v>
      </c>
      <c r="R14" s="23" t="n">
        <f aca="false">ModelBull!$F$20*Retentie!$D$6</f>
        <v>606.894176076896</v>
      </c>
      <c r="S14" s="23" t="n">
        <f aca="false">ModelBull!$F$20*Retentie!$D$7</f>
        <v>548.162481617842</v>
      </c>
      <c r="T14" s="23" t="n">
        <f aca="false">ModelBull!$F$20*Retentie!$D$8</f>
        <v>509.008018645139</v>
      </c>
      <c r="U14" s="23" t="n">
        <f aca="false">ModelBull!$F$20*Retentie!$D$9</f>
        <v>479.642171415612</v>
      </c>
      <c r="V14" s="23" t="n">
        <f aca="false">ModelBull!$F$20*Retentie!$D$10</f>
        <v>460.06493992926</v>
      </c>
      <c r="W14" s="23" t="n">
        <f aca="false">ModelBull!$F$20*Retentie!$D$11</f>
        <v>440.487708442909</v>
      </c>
      <c r="X14" s="23" t="n">
        <f aca="false">ModelBull!$F$20*Retentie!$D$12</f>
        <v>420.910476956557</v>
      </c>
      <c r="Y14" s="23" t="n">
        <f aca="false">ModelBull!$F$20*Retentie!$D$13</f>
        <v>411.121861213381</v>
      </c>
      <c r="Z14" s="23" t="n">
        <f aca="false">ModelBull!$F$20*Retentie!$D$14</f>
        <v>401.333245470206</v>
      </c>
      <c r="AA14" s="23" t="n">
        <f aca="false">ModelBull!$F$20*Retentie!$D$15</f>
        <v>391.54462972703</v>
      </c>
      <c r="AB14" s="23" t="n">
        <f aca="false">ModelBull!$F$20*Retentie!$D$16</f>
        <v>387.62918342976</v>
      </c>
      <c r="AC14" s="23" t="n">
        <f aca="false">ModelBull!$F$20*Retentie!$D$17</f>
        <v>383.713737132489</v>
      </c>
      <c r="AD14" s="23" t="n">
        <f aca="false">ModelBull!$F$20*Retentie!$D$18</f>
        <v>379.798290835219</v>
      </c>
      <c r="AE14" s="23" t="n">
        <f aca="false">ModelBull!$F$20*Retentie!$D$19</f>
        <v>375.882844537949</v>
      </c>
      <c r="AF14" s="23" t="n">
        <f aca="false">ModelBull!$F$20*Retentie!$D$20</f>
        <v>371.967398240678</v>
      </c>
      <c r="AG14" s="23" t="n">
        <f aca="false">ModelBull!$F$20*Retentie!$D$21</f>
        <v>368.051951943408</v>
      </c>
      <c r="AH14" s="23" t="n">
        <f aca="false">ModelBull!$F$20*Retentie!$D$22</f>
        <v>364.136505646138</v>
      </c>
      <c r="AI14" s="23" t="n">
        <f aca="false">ModelBull!$F$20*Retentie!$D$23</f>
        <v>360.221059348868</v>
      </c>
      <c r="AJ14" s="23" t="n">
        <f aca="false">ModelBull!$F$20*Retentie!$D$24</f>
        <v>358.263336200232</v>
      </c>
      <c r="AK14" s="23" t="n">
        <f aca="false">ModelBull!$F$20*Retentie!$D$25</f>
        <v>356.305613051597</v>
      </c>
    </row>
    <row r="15" customFormat="false" ht="15" hidden="false" customHeight="false" outlineLevel="0" collapsed="false">
      <c r="A15" s="5" t="n">
        <v>14</v>
      </c>
      <c r="O15" s="23" t="n">
        <f aca="false">ModelBull!$F$21*Retentie!$D$2</f>
        <v>827.624725015217</v>
      </c>
      <c r="P15" s="23" t="n">
        <f aca="false">ModelBull!$F$21*Retentie!$D$3</f>
        <v>430.364857007913</v>
      </c>
      <c r="Q15" s="23" t="n">
        <f aca="false">ModelBull!$F$21*Retentie!$D$4</f>
        <v>347.602384506391</v>
      </c>
      <c r="R15" s="23" t="n">
        <f aca="false">ModelBull!$F$21*Retentie!$D$5</f>
        <v>289.668653755326</v>
      </c>
      <c r="S15" s="23" t="n">
        <f aca="false">ModelBull!$F$21*Retentie!$D$6</f>
        <v>256.563664754717</v>
      </c>
      <c r="T15" s="23" t="n">
        <f aca="false">ModelBull!$F$21*Retentie!$D$7</f>
        <v>231.734923004261</v>
      </c>
      <c r="U15" s="23" t="n">
        <f aca="false">ModelBull!$F$21*Retentie!$D$8</f>
        <v>215.182428503956</v>
      </c>
      <c r="V15" s="23" t="n">
        <f aca="false">ModelBull!$F$21*Retentie!$D$9</f>
        <v>202.768057628728</v>
      </c>
      <c r="W15" s="23" t="n">
        <f aca="false">ModelBull!$F$21*Retentie!$D$10</f>
        <v>194.491810378576</v>
      </c>
      <c r="X15" s="23" t="n">
        <f aca="false">ModelBull!$F$21*Retentie!$D$11</f>
        <v>186.215563128424</v>
      </c>
      <c r="Y15" s="23" t="n">
        <f aca="false">ModelBull!$F$21*Retentie!$D$12</f>
        <v>177.939315878272</v>
      </c>
      <c r="Z15" s="23" t="n">
        <f aca="false">ModelBull!$F$21*Retentie!$D$13</f>
        <v>173.801192253196</v>
      </c>
      <c r="AA15" s="23" t="n">
        <f aca="false">ModelBull!$F$21*Retentie!$D$14</f>
        <v>169.663068628119</v>
      </c>
      <c r="AB15" s="23" t="n">
        <f aca="false">ModelBull!$F$21*Retentie!$D$15</f>
        <v>165.524945003043</v>
      </c>
      <c r="AC15" s="23" t="n">
        <f aca="false">ModelBull!$F$21*Retentie!$D$16</f>
        <v>163.869695553013</v>
      </c>
      <c r="AD15" s="23" t="n">
        <f aca="false">ModelBull!$F$21*Retentie!$D$17</f>
        <v>162.214446102983</v>
      </c>
      <c r="AE15" s="23" t="n">
        <f aca="false">ModelBull!$F$21*Retentie!$D$18</f>
        <v>160.559196652952</v>
      </c>
      <c r="AF15" s="23" t="n">
        <f aca="false">ModelBull!$F$21*Retentie!$D$19</f>
        <v>158.903947202922</v>
      </c>
      <c r="AG15" s="23" t="n">
        <f aca="false">ModelBull!$F$21*Retentie!$D$20</f>
        <v>157.248697752891</v>
      </c>
      <c r="AH15" s="23" t="n">
        <f aca="false">ModelBull!$F$21*Retentie!$D$21</f>
        <v>155.593448302861</v>
      </c>
      <c r="AI15" s="23" t="n">
        <f aca="false">ModelBull!$F$21*Retentie!$D$22</f>
        <v>153.93819885283</v>
      </c>
      <c r="AJ15" s="23" t="n">
        <f aca="false">ModelBull!$F$21*Retentie!$D$23</f>
        <v>152.2829494028</v>
      </c>
      <c r="AK15" s="23" t="n">
        <f aca="false">ModelBull!$F$21*Retentie!$D$24</f>
        <v>151.455324677785</v>
      </c>
    </row>
    <row r="16" customFormat="false" ht="15" hidden="false" customHeight="false" outlineLevel="0" collapsed="false">
      <c r="A16" s="5" t="n">
        <v>15</v>
      </c>
      <c r="P16" s="23" t="n">
        <f aca="false">ModelBull!$F$22*Retentie!$D$2</f>
        <v>877.28220851613</v>
      </c>
      <c r="Q16" s="23" t="n">
        <f aca="false">ModelBull!$F$22*Retentie!$D$3</f>
        <v>456.186748428388</v>
      </c>
      <c r="R16" s="23" t="n">
        <f aca="false">ModelBull!$F$22*Retentie!$D$4</f>
        <v>368.458527576775</v>
      </c>
      <c r="S16" s="23" t="n">
        <f aca="false">ModelBull!$F$22*Retentie!$D$5</f>
        <v>307.048772980645</v>
      </c>
      <c r="T16" s="23" t="n">
        <f aca="false">ModelBull!$F$22*Retentie!$D$6</f>
        <v>271.95748464</v>
      </c>
      <c r="U16" s="23" t="n">
        <f aca="false">ModelBull!$F$22*Retentie!$D$7</f>
        <v>245.639018384516</v>
      </c>
      <c r="V16" s="23" t="n">
        <f aca="false">ModelBull!$F$22*Retentie!$D$8</f>
        <v>228.093374214194</v>
      </c>
      <c r="W16" s="23" t="n">
        <f aca="false">ModelBull!$F$22*Retentie!$D$9</f>
        <v>214.934141086452</v>
      </c>
      <c r="X16" s="23" t="n">
        <f aca="false">ModelBull!$F$22*Retentie!$D$10</f>
        <v>206.161319001291</v>
      </c>
      <c r="Y16" s="23" t="n">
        <f aca="false">ModelBull!$F$22*Retentie!$D$11</f>
        <v>197.388496916129</v>
      </c>
      <c r="Z16" s="23" t="n">
        <f aca="false">ModelBull!$F$22*Retentie!$D$12</f>
        <v>188.615674830968</v>
      </c>
      <c r="AA16" s="23" t="n">
        <f aca="false">ModelBull!$F$22*Retentie!$D$13</f>
        <v>184.229263788387</v>
      </c>
      <c r="AB16" s="23" t="n">
        <f aca="false">ModelBull!$F$22*Retentie!$D$14</f>
        <v>179.842852745807</v>
      </c>
      <c r="AC16" s="23" t="n">
        <f aca="false">ModelBull!$F$22*Retentie!$D$15</f>
        <v>175.456441703226</v>
      </c>
      <c r="AD16" s="23" t="n">
        <f aca="false">ModelBull!$F$22*Retentie!$D$16</f>
        <v>173.701877286194</v>
      </c>
      <c r="AE16" s="23" t="n">
        <f aca="false">ModelBull!$F$22*Retentie!$D$17</f>
        <v>171.947312869161</v>
      </c>
      <c r="AF16" s="23" t="n">
        <f aca="false">ModelBull!$F$22*Retentie!$D$18</f>
        <v>170.192748452129</v>
      </c>
      <c r="AG16" s="23" t="n">
        <f aca="false">ModelBull!$F$22*Retentie!$D$19</f>
        <v>168.438184035097</v>
      </c>
      <c r="AH16" s="23" t="n">
        <f aca="false">ModelBull!$F$22*Retentie!$D$20</f>
        <v>166.683619618065</v>
      </c>
      <c r="AI16" s="23" t="n">
        <f aca="false">ModelBull!$F$22*Retentie!$D$21</f>
        <v>164.929055201032</v>
      </c>
      <c r="AJ16" s="23" t="n">
        <f aca="false">ModelBull!$F$22*Retentie!$D$22</f>
        <v>163.174490784</v>
      </c>
      <c r="AK16" s="23" t="n">
        <f aca="false">ModelBull!$F$22*Retentie!$D$23</f>
        <v>161.419926366968</v>
      </c>
    </row>
    <row r="17" customFormat="false" ht="15" hidden="false" customHeight="false" outlineLevel="0" collapsed="false">
      <c r="A17" s="5" t="n">
        <v>16</v>
      </c>
      <c r="Q17" s="23" t="n">
        <f aca="false">ModelBull!$F$23*Retentie!$D$2</f>
        <v>929.919141027098</v>
      </c>
      <c r="R17" s="23" t="n">
        <f aca="false">ModelBull!$F$23*Retentie!$D$3</f>
        <v>483.557953334091</v>
      </c>
      <c r="S17" s="23" t="n">
        <f aca="false">ModelBull!$F$23*Retentie!$D$4</f>
        <v>390.566039231381</v>
      </c>
      <c r="T17" s="23" t="n">
        <f aca="false">ModelBull!$F$23*Retentie!$D$5</f>
        <v>325.471699359484</v>
      </c>
      <c r="U17" s="23" t="n">
        <f aca="false">ModelBull!$F$23*Retentie!$D$6</f>
        <v>288.2749337184</v>
      </c>
      <c r="V17" s="23" t="n">
        <f aca="false">ModelBull!$F$23*Retentie!$D$7</f>
        <v>260.377359487587</v>
      </c>
      <c r="W17" s="23" t="n">
        <f aca="false">ModelBull!$F$23*Retentie!$D$8</f>
        <v>241.778976667045</v>
      </c>
      <c r="X17" s="23" t="n">
        <f aca="false">ModelBull!$F$23*Retentie!$D$9</f>
        <v>227.830189551639</v>
      </c>
      <c r="Y17" s="23" t="n">
        <f aca="false">ModelBull!$F$23*Retentie!$D$10</f>
        <v>218.530998141368</v>
      </c>
      <c r="Z17" s="23" t="n">
        <f aca="false">ModelBull!$F$23*Retentie!$D$11</f>
        <v>209.231806731097</v>
      </c>
      <c r="AA17" s="23" t="n">
        <f aca="false">ModelBull!$F$23*Retentie!$D$12</f>
        <v>199.932615320826</v>
      </c>
      <c r="AB17" s="23" t="n">
        <f aca="false">ModelBull!$F$23*Retentie!$D$13</f>
        <v>195.283019615691</v>
      </c>
      <c r="AC17" s="23" t="n">
        <f aca="false">ModelBull!$F$23*Retentie!$D$14</f>
        <v>190.633423910555</v>
      </c>
      <c r="AD17" s="23" t="n">
        <f aca="false">ModelBull!$F$23*Retentie!$D$15</f>
        <v>185.98382820542</v>
      </c>
      <c r="AE17" s="23" t="n">
        <f aca="false">ModelBull!$F$23*Retentie!$D$16</f>
        <v>184.123989923365</v>
      </c>
      <c r="AF17" s="23" t="n">
        <f aca="false">ModelBull!$F$23*Retentie!$D$17</f>
        <v>182.264151641311</v>
      </c>
      <c r="AG17" s="23" t="n">
        <f aca="false">ModelBull!$F$23*Retentie!$D$18</f>
        <v>180.404313359257</v>
      </c>
      <c r="AH17" s="23" t="n">
        <f aca="false">ModelBull!$F$23*Retentie!$D$19</f>
        <v>178.544475077203</v>
      </c>
      <c r="AI17" s="23" t="n">
        <f aca="false">ModelBull!$F$23*Retentie!$D$20</f>
        <v>176.684636795149</v>
      </c>
      <c r="AJ17" s="23" t="n">
        <f aca="false">ModelBull!$F$23*Retentie!$D$21</f>
        <v>174.824798513094</v>
      </c>
      <c r="AK17" s="23" t="n">
        <f aca="false">ModelBull!$F$23*Retentie!$D$22</f>
        <v>172.96496023104</v>
      </c>
    </row>
    <row r="18" customFormat="false" ht="15" hidden="false" customHeight="false" outlineLevel="0" collapsed="false">
      <c r="A18" s="5" t="n">
        <v>17</v>
      </c>
      <c r="R18" s="23" t="n">
        <f aca="false">ModelBull!$F$24*Retentie!$D$2</f>
        <v>985.714289488724</v>
      </c>
      <c r="S18" s="23" t="n">
        <f aca="false">ModelBull!$F$24*Retentie!$D$3</f>
        <v>512.571430534136</v>
      </c>
      <c r="T18" s="23" t="n">
        <f aca="false">ModelBull!$F$24*Retentie!$D$4</f>
        <v>414.000001585264</v>
      </c>
      <c r="U18" s="23" t="n">
        <f aca="false">ModelBull!$F$24*Retentie!$D$5</f>
        <v>345.000001321053</v>
      </c>
      <c r="V18" s="23" t="n">
        <f aca="false">ModelBull!$F$24*Retentie!$D$6</f>
        <v>305.571429741504</v>
      </c>
      <c r="W18" s="23" t="n">
        <f aca="false">ModelBull!$F$24*Retentie!$D$7</f>
        <v>276.000001056843</v>
      </c>
      <c r="X18" s="23" t="n">
        <f aca="false">ModelBull!$F$24*Retentie!$D$8</f>
        <v>256.285715267068</v>
      </c>
      <c r="Y18" s="23" t="n">
        <f aca="false">ModelBull!$F$24*Retentie!$D$9</f>
        <v>241.500000924737</v>
      </c>
      <c r="Z18" s="23" t="n">
        <f aca="false">ModelBull!$F$24*Retentie!$D$10</f>
        <v>231.64285802985</v>
      </c>
      <c r="AA18" s="23" t="n">
        <f aca="false">ModelBull!$F$24*Retentie!$D$11</f>
        <v>221.785715134963</v>
      </c>
      <c r="AB18" s="23" t="n">
        <f aca="false">ModelBull!$F$24*Retentie!$D$12</f>
        <v>211.928572240076</v>
      </c>
      <c r="AC18" s="23" t="n">
        <f aca="false">ModelBull!$F$24*Retentie!$D$13</f>
        <v>207.000000792632</v>
      </c>
      <c r="AD18" s="23" t="n">
        <f aca="false">ModelBull!$F$24*Retentie!$D$14</f>
        <v>202.071429345188</v>
      </c>
      <c r="AE18" s="23" t="n">
        <f aca="false">ModelBull!$F$24*Retentie!$D$15</f>
        <v>197.142857897745</v>
      </c>
      <c r="AF18" s="23" t="n">
        <f aca="false">ModelBull!$F$24*Retentie!$D$16</f>
        <v>195.171429318767</v>
      </c>
      <c r="AG18" s="23" t="n">
        <f aca="false">ModelBull!$F$24*Retentie!$D$17</f>
        <v>193.20000073979</v>
      </c>
      <c r="AH18" s="23" t="n">
        <f aca="false">ModelBull!$F$24*Retentie!$D$18</f>
        <v>191.228572160812</v>
      </c>
      <c r="AI18" s="23" t="n">
        <f aca="false">ModelBull!$F$24*Retentie!$D$19</f>
        <v>189.257143581835</v>
      </c>
      <c r="AJ18" s="23" t="n">
        <f aca="false">ModelBull!$F$24*Retentie!$D$20</f>
        <v>187.285715002858</v>
      </c>
      <c r="AK18" s="23" t="n">
        <f aca="false">ModelBull!$F$24*Retentie!$D$21</f>
        <v>185.31428642388</v>
      </c>
    </row>
    <row r="19" customFormat="false" ht="15" hidden="false" customHeight="false" outlineLevel="0" collapsed="false">
      <c r="A19" s="5" t="n">
        <v>18</v>
      </c>
      <c r="S19" s="23" t="n">
        <f aca="false">ModelBull!$F$25*Retentie!$D$2</f>
        <v>1044.85714685805</v>
      </c>
      <c r="T19" s="23" t="n">
        <f aca="false">ModelBull!$F$25*Retentie!$D$3</f>
        <v>543.325716366185</v>
      </c>
      <c r="U19" s="23" t="n">
        <f aca="false">ModelBull!$F$25*Retentie!$D$4</f>
        <v>438.84000168038</v>
      </c>
      <c r="V19" s="23" t="n">
        <f aca="false">ModelBull!$F$25*Retentie!$D$5</f>
        <v>365.700001400316</v>
      </c>
      <c r="W19" s="23" t="n">
        <f aca="false">ModelBull!$F$25*Retentie!$D$6</f>
        <v>323.905715525995</v>
      </c>
      <c r="X19" s="23" t="n">
        <f aca="false">ModelBull!$F$25*Retentie!$D$7</f>
        <v>292.560001120253</v>
      </c>
      <c r="Y19" s="23" t="n">
        <f aca="false">ModelBull!$F$25*Retentie!$D$8</f>
        <v>271.662858183092</v>
      </c>
      <c r="Z19" s="23" t="n">
        <f aca="false">ModelBull!$F$25*Retentie!$D$9</f>
        <v>255.990000980222</v>
      </c>
      <c r="AA19" s="23" t="n">
        <f aca="false">ModelBull!$F$25*Retentie!$D$10</f>
        <v>245.541429511641</v>
      </c>
      <c r="AB19" s="23" t="n">
        <f aca="false">ModelBull!$F$25*Retentie!$D$11</f>
        <v>235.092858043061</v>
      </c>
      <c r="AC19" s="23" t="n">
        <f aca="false">ModelBull!$F$25*Retentie!$D$12</f>
        <v>224.64428657448</v>
      </c>
      <c r="AD19" s="23" t="n">
        <f aca="false">ModelBull!$F$25*Retentie!$D$13</f>
        <v>219.42000084019</v>
      </c>
      <c r="AE19" s="23" t="n">
        <f aca="false">ModelBull!$F$25*Retentie!$D$14</f>
        <v>214.1957151059</v>
      </c>
      <c r="AF19" s="23" t="n">
        <f aca="false">ModelBull!$F$25*Retentie!$D$15</f>
        <v>208.971429371609</v>
      </c>
      <c r="AG19" s="23" t="n">
        <f aca="false">ModelBull!$F$25*Retentie!$D$16</f>
        <v>206.881715077893</v>
      </c>
      <c r="AH19" s="23" t="n">
        <f aca="false">ModelBull!$F$25*Retentie!$D$17</f>
        <v>204.792000784177</v>
      </c>
      <c r="AI19" s="23" t="n">
        <f aca="false">ModelBull!$F$25*Retentie!$D$18</f>
        <v>202.702286490461</v>
      </c>
      <c r="AJ19" s="23" t="n">
        <f aca="false">ModelBull!$F$25*Retentie!$D$19</f>
        <v>200.612572196745</v>
      </c>
      <c r="AK19" s="23" t="n">
        <f aca="false">ModelBull!$F$25*Retentie!$D$20</f>
        <v>198.522857903029</v>
      </c>
    </row>
    <row r="20" customFormat="false" ht="15" hidden="false" customHeight="false" outlineLevel="0" collapsed="false">
      <c r="A20" s="5" t="n">
        <v>19</v>
      </c>
      <c r="T20" s="23" t="n">
        <f aca="false">ModelBull!$F$26*Retentie!$D$2</f>
        <v>1107.54857566953</v>
      </c>
      <c r="U20" s="23" t="n">
        <f aca="false">ModelBull!$F$26*Retentie!$D$3</f>
        <v>575.925259348156</v>
      </c>
      <c r="V20" s="23" t="n">
        <f aca="false">ModelBull!$F$26*Retentie!$D$4</f>
        <v>465.170401781203</v>
      </c>
      <c r="W20" s="23" t="n">
        <f aca="false">ModelBull!$F$26*Retentie!$D$5</f>
        <v>387.642001484335</v>
      </c>
      <c r="X20" s="23" t="n">
        <f aca="false">ModelBull!$F$26*Retentie!$D$6</f>
        <v>343.340058457554</v>
      </c>
      <c r="Y20" s="23" t="n">
        <f aca="false">ModelBull!$F$26*Retentie!$D$7</f>
        <v>310.113601187468</v>
      </c>
      <c r="Z20" s="23" t="n">
        <f aca="false">ModelBull!$F$26*Retentie!$D$8</f>
        <v>287.962629674078</v>
      </c>
      <c r="AA20" s="23" t="n">
        <f aca="false">ModelBull!$F$26*Retentie!$D$9</f>
        <v>271.349401039035</v>
      </c>
      <c r="AB20" s="23" t="n">
        <f aca="false">ModelBull!$F$26*Retentie!$D$10</f>
        <v>260.27391528234</v>
      </c>
      <c r="AC20" s="23" t="n">
        <f aca="false">ModelBull!$F$26*Retentie!$D$11</f>
        <v>249.198429525644</v>
      </c>
      <c r="AD20" s="23" t="n">
        <f aca="false">ModelBull!$F$26*Retentie!$D$12</f>
        <v>238.122943768949</v>
      </c>
      <c r="AE20" s="23" t="n">
        <f aca="false">ModelBull!$F$26*Retentie!$D$13</f>
        <v>232.585200890601</v>
      </c>
      <c r="AF20" s="23" t="n">
        <f aca="false">ModelBull!$F$26*Retentie!$D$14</f>
        <v>227.047458012254</v>
      </c>
      <c r="AG20" s="23" t="n">
        <f aca="false">ModelBull!$F$26*Retentie!$D$15</f>
        <v>221.509715133906</v>
      </c>
      <c r="AH20" s="23" t="n">
        <f aca="false">ModelBull!$F$26*Retentie!$D$16</f>
        <v>219.294617982567</v>
      </c>
      <c r="AI20" s="23" t="n">
        <f aca="false">ModelBull!$F$26*Retentie!$D$17</f>
        <v>217.079520831228</v>
      </c>
      <c r="AJ20" s="23" t="n">
        <f aca="false">ModelBull!$F$26*Retentie!$D$18</f>
        <v>214.864423679889</v>
      </c>
      <c r="AK20" s="23" t="n">
        <f aca="false">ModelBull!$F$26*Retentie!$D$19</f>
        <v>212.64932652855</v>
      </c>
    </row>
    <row r="21" customFormat="false" ht="15" hidden="false" customHeight="false" outlineLevel="0" collapsed="false">
      <c r="A21" s="5" t="n">
        <v>20</v>
      </c>
      <c r="U21" s="23" t="n">
        <f aca="false">ModelBull!$F$27*Retentie!$D$2</f>
        <v>1174.0014902097</v>
      </c>
      <c r="V21" s="23" t="n">
        <f aca="false">ModelBull!$F$27*Retentie!$D$3</f>
        <v>610.480774909045</v>
      </c>
      <c r="W21" s="23" t="n">
        <f aca="false">ModelBull!$F$27*Retentie!$D$4</f>
        <v>493.080625888075</v>
      </c>
      <c r="X21" s="23" t="n">
        <f aca="false">ModelBull!$F$27*Retentie!$D$5</f>
        <v>410.900521573396</v>
      </c>
      <c r="Y21" s="23" t="n">
        <f aca="false">ModelBull!$F$27*Retentie!$D$6</f>
        <v>363.940461965008</v>
      </c>
      <c r="Z21" s="23" t="n">
        <f aca="false">ModelBull!$F$27*Retentie!$D$7</f>
        <v>328.720417258717</v>
      </c>
      <c r="AA21" s="23" t="n">
        <f aca="false">ModelBull!$F$27*Retentie!$D$8</f>
        <v>305.240387454523</v>
      </c>
      <c r="AB21" s="23" t="n">
        <f aca="false">ModelBull!$F$27*Retentie!$D$9</f>
        <v>287.630365101377</v>
      </c>
      <c r="AC21" s="23" t="n">
        <f aca="false">ModelBull!$F$27*Retentie!$D$10</f>
        <v>275.89035019928</v>
      </c>
      <c r="AD21" s="23" t="n">
        <f aca="false">ModelBull!$F$27*Retentie!$D$11</f>
        <v>264.150335297183</v>
      </c>
      <c r="AE21" s="23" t="n">
        <f aca="false">ModelBull!$F$27*Retentie!$D$12</f>
        <v>252.410320395086</v>
      </c>
      <c r="AF21" s="23" t="n">
        <f aca="false">ModelBull!$F$27*Retentie!$D$13</f>
        <v>246.540312944037</v>
      </c>
      <c r="AG21" s="23" t="n">
        <f aca="false">ModelBull!$F$27*Retentie!$D$14</f>
        <v>240.670305492989</v>
      </c>
      <c r="AH21" s="23" t="n">
        <f aca="false">ModelBull!$F$27*Retentie!$D$15</f>
        <v>234.80029804194</v>
      </c>
      <c r="AI21" s="23" t="n">
        <f aca="false">ModelBull!$F$27*Retentie!$D$16</f>
        <v>232.452295061521</v>
      </c>
      <c r="AJ21" s="23" t="n">
        <f aca="false">ModelBull!$F$27*Retentie!$D$17</f>
        <v>230.104292081102</v>
      </c>
      <c r="AK21" s="23" t="n">
        <f aca="false">ModelBull!$F$27*Retentie!$D$18</f>
        <v>227.756289100682</v>
      </c>
    </row>
    <row r="22" customFormat="false" ht="15" hidden="false" customHeight="false" outlineLevel="0" collapsed="false">
      <c r="A22" s="5" t="n">
        <v>21</v>
      </c>
      <c r="V22" s="23" t="n">
        <f aca="false">ModelBull!$F$28*Retentie!$D$2</f>
        <v>1244.44157962228</v>
      </c>
      <c r="W22" s="23" t="n">
        <f aca="false">ModelBull!$F$28*Retentie!$D$3</f>
        <v>647.109621403588</v>
      </c>
      <c r="X22" s="23" t="n">
        <f aca="false">ModelBull!$F$28*Retentie!$D$4</f>
        <v>522.665463441359</v>
      </c>
      <c r="Y22" s="23" t="n">
        <f aca="false">ModelBull!$F$28*Retentie!$D$5</f>
        <v>435.554552867799</v>
      </c>
      <c r="Z22" s="23" t="n">
        <f aca="false">ModelBull!$F$28*Retentie!$D$6</f>
        <v>385.776889682908</v>
      </c>
      <c r="AA22" s="23" t="n">
        <f aca="false">ModelBull!$F$28*Retentie!$D$7</f>
        <v>348.44364229424</v>
      </c>
      <c r="AB22" s="23" t="n">
        <f aca="false">ModelBull!$F$28*Retentie!$D$8</f>
        <v>323.554810701794</v>
      </c>
      <c r="AC22" s="23" t="n">
        <f aca="false">ModelBull!$F$28*Retentie!$D$9</f>
        <v>304.88818700746</v>
      </c>
      <c r="AD22" s="23" t="n">
        <f aca="false">ModelBull!$F$28*Retentie!$D$10</f>
        <v>292.443771211237</v>
      </c>
      <c r="AE22" s="23" t="n">
        <f aca="false">ModelBull!$F$28*Retentie!$D$11</f>
        <v>279.999355415014</v>
      </c>
      <c r="AF22" s="23" t="n">
        <f aca="false">ModelBull!$F$28*Retentie!$D$12</f>
        <v>267.554939618791</v>
      </c>
      <c r="AG22" s="23" t="n">
        <f aca="false">ModelBull!$F$28*Retentie!$D$13</f>
        <v>261.33273172068</v>
      </c>
      <c r="AH22" s="23" t="n">
        <f aca="false">ModelBull!$F$28*Retentie!$D$14</f>
        <v>255.110523822568</v>
      </c>
      <c r="AI22" s="23" t="n">
        <f aca="false">ModelBull!$F$28*Retentie!$D$15</f>
        <v>248.888315924457</v>
      </c>
      <c r="AJ22" s="23" t="n">
        <f aca="false">ModelBull!$F$28*Retentie!$D$16</f>
        <v>246.399432765212</v>
      </c>
      <c r="AK22" s="23" t="n">
        <f aca="false">ModelBull!$F$28*Retentie!$D$17</f>
        <v>243.910549605968</v>
      </c>
    </row>
    <row r="23" customFormat="false" ht="15" hidden="false" customHeight="false" outlineLevel="0" collapsed="false">
      <c r="A23" s="5" t="n">
        <v>22</v>
      </c>
      <c r="W23" s="23" t="n">
        <f aca="false">ModelBull!$F$29*Retentie!$D$2</f>
        <v>1319.10807439962</v>
      </c>
      <c r="X23" s="23" t="n">
        <f aca="false">ModelBull!$F$29*Retentie!$D$3</f>
        <v>685.936198687803</v>
      </c>
      <c r="Y23" s="23" t="n">
        <f aca="false">ModelBull!$F$29*Retentie!$D$4</f>
        <v>554.025391247841</v>
      </c>
      <c r="Z23" s="23" t="n">
        <f aca="false">ModelBull!$F$29*Retentie!$D$5</f>
        <v>461.687826039867</v>
      </c>
      <c r="AA23" s="23" t="n">
        <f aca="false">ModelBull!$F$29*Retentie!$D$6</f>
        <v>408.923503063883</v>
      </c>
      <c r="AB23" s="23" t="n">
        <f aca="false">ModelBull!$F$29*Retentie!$D$7</f>
        <v>369.350260831894</v>
      </c>
      <c r="AC23" s="23" t="n">
        <f aca="false">ModelBull!$F$29*Retentie!$D$8</f>
        <v>342.968099343902</v>
      </c>
      <c r="AD23" s="23" t="n">
        <f aca="false">ModelBull!$F$29*Retentie!$D$9</f>
        <v>323.181478227907</v>
      </c>
      <c r="AE23" s="23" t="n">
        <f aca="false">ModelBull!$F$29*Retentie!$D$10</f>
        <v>309.990397483911</v>
      </c>
      <c r="AF23" s="23" t="n">
        <f aca="false">ModelBull!$F$29*Retentie!$D$11</f>
        <v>296.799316739915</v>
      </c>
      <c r="AG23" s="23" t="n">
        <f aca="false">ModelBull!$F$29*Retentie!$D$12</f>
        <v>283.608235995919</v>
      </c>
      <c r="AH23" s="23" t="n">
        <f aca="false">ModelBull!$F$29*Retentie!$D$13</f>
        <v>277.01269562392</v>
      </c>
      <c r="AI23" s="23" t="n">
        <f aca="false">ModelBull!$F$29*Retentie!$D$14</f>
        <v>270.417155251922</v>
      </c>
      <c r="AJ23" s="23" t="n">
        <f aca="false">ModelBull!$F$29*Retentie!$D$15</f>
        <v>263.821614879924</v>
      </c>
      <c r="AK23" s="23" t="n">
        <f aca="false">ModelBull!$F$29*Retentie!$D$16</f>
        <v>261.183398731125</v>
      </c>
    </row>
    <row r="24" customFormat="false" ht="15" hidden="false" customHeight="false" outlineLevel="0" collapsed="false">
      <c r="A24" s="5" t="n">
        <v>23</v>
      </c>
      <c r="X24" s="23" t="n">
        <f aca="false">ModelBull!$F$30*Retentie!$D$2</f>
        <v>1398.2545588636</v>
      </c>
      <c r="Y24" s="23" t="n">
        <f aca="false">ModelBull!$F$30*Retentie!$D$3</f>
        <v>727.092370609071</v>
      </c>
      <c r="Z24" s="23" t="n">
        <f aca="false">ModelBull!$F$30*Retentie!$D$4</f>
        <v>587.266914722711</v>
      </c>
      <c r="AA24" s="23" t="n">
        <f aca="false">ModelBull!$F$30*Retentie!$D$5</f>
        <v>489.389095602259</v>
      </c>
      <c r="AB24" s="23" t="n">
        <f aca="false">ModelBull!$F$30*Retentie!$D$6</f>
        <v>433.458913247716</v>
      </c>
      <c r="AC24" s="23" t="n">
        <f aca="false">ModelBull!$F$30*Retentie!$D$7</f>
        <v>391.511276481808</v>
      </c>
      <c r="AD24" s="23" t="n">
        <f aca="false">ModelBull!$F$30*Retentie!$D$8</f>
        <v>363.546185304536</v>
      </c>
      <c r="AE24" s="23" t="n">
        <f aca="false">ModelBull!$F$30*Retentie!$D$9</f>
        <v>342.572366921582</v>
      </c>
      <c r="AF24" s="23" t="n">
        <f aca="false">ModelBull!$F$30*Retentie!$D$10</f>
        <v>328.589821332946</v>
      </c>
      <c r="AG24" s="23" t="n">
        <f aca="false">ModelBull!$F$30*Retentie!$D$11</f>
        <v>314.60727574431</v>
      </c>
      <c r="AH24" s="23" t="n">
        <f aca="false">ModelBull!$F$30*Retentie!$D$12</f>
        <v>300.624730155674</v>
      </c>
      <c r="AI24" s="23" t="n">
        <f aca="false">ModelBull!$F$30*Retentie!$D$13</f>
        <v>293.633457361356</v>
      </c>
      <c r="AJ24" s="23" t="n">
        <f aca="false">ModelBull!$F$30*Retentie!$D$14</f>
        <v>286.642184567038</v>
      </c>
      <c r="AK24" s="23" t="n">
        <f aca="false">ModelBull!$F$30*Retentie!$D$15</f>
        <v>279.65091177272</v>
      </c>
    </row>
    <row r="25" customFormat="false" ht="15" hidden="false" customHeight="false" outlineLevel="0" collapsed="false">
      <c r="A25" s="5" t="n">
        <v>24</v>
      </c>
      <c r="Y25" s="23" t="n">
        <f aca="false">ModelBull!$F$31*Retentie!$D$2</f>
        <v>1482.14983239541</v>
      </c>
      <c r="Z25" s="23" t="n">
        <f aca="false">ModelBull!$F$31*Retentie!$D$3</f>
        <v>770.717912845616</v>
      </c>
      <c r="AA25" s="23" t="n">
        <f aca="false">ModelBull!$F$31*Retentie!$D$4</f>
        <v>622.502929606074</v>
      </c>
      <c r="AB25" s="23" t="n">
        <f aca="false">ModelBull!$F$31*Retentie!$D$5</f>
        <v>518.752441338395</v>
      </c>
      <c r="AC25" s="23" t="n">
        <f aca="false">ModelBull!$F$31*Retentie!$D$6</f>
        <v>459.466448042578</v>
      </c>
      <c r="AD25" s="23" t="n">
        <f aca="false">ModelBull!$F$31*Retentie!$D$7</f>
        <v>415.001953070716</v>
      </c>
      <c r="AE25" s="23" t="n">
        <f aca="false">ModelBull!$F$31*Retentie!$D$8</f>
        <v>385.358956422808</v>
      </c>
      <c r="AF25" s="23" t="n">
        <f aca="false">ModelBull!$F$31*Retentie!$D$9</f>
        <v>363.126708936877</v>
      </c>
      <c r="AG25" s="23" t="n">
        <f aca="false">ModelBull!$F$31*Retentie!$D$10</f>
        <v>348.305210612922</v>
      </c>
      <c r="AH25" s="23" t="n">
        <f aca="false">ModelBull!$F$31*Retentie!$D$11</f>
        <v>333.483712288968</v>
      </c>
      <c r="AI25" s="23" t="n">
        <f aca="false">ModelBull!$F$31*Retentie!$D$12</f>
        <v>318.662213965014</v>
      </c>
      <c r="AJ25" s="23" t="n">
        <f aca="false">ModelBull!$F$31*Retentie!$D$13</f>
        <v>311.251464803037</v>
      </c>
      <c r="AK25" s="23" t="n">
        <f aca="false">ModelBull!$F$31*Retentie!$D$14</f>
        <v>303.84071564106</v>
      </c>
    </row>
    <row r="26" customFormat="false" ht="15" hidden="false" customHeight="false" outlineLevel="0" collapsed="false">
      <c r="A26" s="5" t="n">
        <v>25</v>
      </c>
      <c r="Z26" s="23" t="n">
        <f aca="false">ModelBull!$F$32*Retentie!$D$2</f>
        <v>3939.32361251444</v>
      </c>
      <c r="AA26" s="23" t="n">
        <f aca="false">ModelBull!$F$32*Retentie!$D$3</f>
        <v>2048.44827850751</v>
      </c>
      <c r="AB26" s="23" t="n">
        <f aca="false">ModelBull!$F$32*Retentie!$D$4</f>
        <v>1654.51591725606</v>
      </c>
      <c r="AC26" s="23" t="n">
        <f aca="false">ModelBull!$F$32*Retentie!$D$5</f>
        <v>1378.76326438005</v>
      </c>
      <c r="AD26" s="23" t="n">
        <f aca="false">ModelBull!$F$32*Retentie!$D$6</f>
        <v>1221.19031987948</v>
      </c>
      <c r="AE26" s="23" t="n">
        <f aca="false">ModelBull!$F$32*Retentie!$D$7</f>
        <v>1103.01061150404</v>
      </c>
      <c r="AF26" s="23" t="n">
        <f aca="false">ModelBull!$F$32*Retentie!$D$8</f>
        <v>1024.22413925375</v>
      </c>
      <c r="AG26" s="23" t="n">
        <f aca="false">ModelBull!$F$32*Retentie!$D$9</f>
        <v>965.134285066037</v>
      </c>
      <c r="AH26" s="23" t="n">
        <f aca="false">ModelBull!$F$32*Retentie!$D$10</f>
        <v>925.741048940892</v>
      </c>
      <c r="AI26" s="23" t="n">
        <f aca="false">ModelBull!$F$32*Retentie!$D$11</f>
        <v>886.347812815748</v>
      </c>
      <c r="AJ26" s="23" t="n">
        <f aca="false">ModelBull!$F$32*Retentie!$D$12</f>
        <v>846.954576690604</v>
      </c>
      <c r="AK26" s="23" t="n">
        <f aca="false">ModelBull!$F$32*Retentie!$D$13</f>
        <v>827.257958628031</v>
      </c>
    </row>
    <row r="27" customFormat="false" ht="15" hidden="false" customHeight="false" outlineLevel="0" collapsed="false">
      <c r="A27" s="5" t="n">
        <v>26</v>
      </c>
      <c r="AA27" s="23" t="n">
        <f aca="false">ModelBull!$F$33*Retentie!$D$2</f>
        <v>1665.34355167949</v>
      </c>
      <c r="AB27" s="23" t="n">
        <f aca="false">ModelBull!$F$33*Retentie!$D$3</f>
        <v>865.978646873334</v>
      </c>
      <c r="AC27" s="23" t="n">
        <f aca="false">ModelBull!$F$33*Retentie!$D$4</f>
        <v>699.444291705385</v>
      </c>
      <c r="AD27" s="23" t="n">
        <f aca="false">ModelBull!$F$33*Retentie!$D$5</f>
        <v>582.870243087821</v>
      </c>
      <c r="AE27" s="23" t="n">
        <f aca="false">ModelBull!$F$33*Retentie!$D$6</f>
        <v>516.256501020641</v>
      </c>
      <c r="AF27" s="23" t="n">
        <f aca="false">ModelBull!$F$33*Retentie!$D$7</f>
        <v>466.296194470257</v>
      </c>
      <c r="AG27" s="23" t="n">
        <f aca="false">ModelBull!$F$33*Retentie!$D$8</f>
        <v>432.989323436667</v>
      </c>
      <c r="AH27" s="23" t="n">
        <f aca="false">ModelBull!$F$33*Retentie!$D$9</f>
        <v>408.009170161475</v>
      </c>
      <c r="AI27" s="23" t="n">
        <f aca="false">ModelBull!$F$33*Retentie!$D$10</f>
        <v>391.35573464468</v>
      </c>
      <c r="AJ27" s="23" t="n">
        <f aca="false">ModelBull!$F$33*Retentie!$D$11</f>
        <v>374.702299127885</v>
      </c>
      <c r="AK27" s="23" t="n">
        <f aca="false">ModelBull!$F$33*Retentie!$D$12</f>
        <v>358.04886361109</v>
      </c>
    </row>
    <row r="28" customFormat="false" ht="15" hidden="false" customHeight="false" outlineLevel="0" collapsed="false">
      <c r="A28" s="5" t="n">
        <v>27</v>
      </c>
      <c r="AB28" s="23" t="n">
        <f aca="false">ModelBull!$F$34*Retentie!$D$2</f>
        <v>1765.26416478026</v>
      </c>
      <c r="AC28" s="23" t="n">
        <f aca="false">ModelBull!$F$34*Retentie!$D$3</f>
        <v>917.937365685734</v>
      </c>
      <c r="AD28" s="23" t="n">
        <f aca="false">ModelBull!$F$34*Retentie!$D$4</f>
        <v>741.410949207708</v>
      </c>
      <c r="AE28" s="23" t="n">
        <f aca="false">ModelBull!$F$34*Retentie!$D$5</f>
        <v>617.84245767309</v>
      </c>
      <c r="AF28" s="23" t="n">
        <f aca="false">ModelBull!$F$34*Retentie!$D$6</f>
        <v>547.23189108188</v>
      </c>
      <c r="AG28" s="23" t="n">
        <f aca="false">ModelBull!$F$34*Retentie!$D$7</f>
        <v>494.273966138472</v>
      </c>
      <c r="AH28" s="23" t="n">
        <f aca="false">ModelBull!$F$34*Retentie!$D$8</f>
        <v>458.968682842867</v>
      </c>
      <c r="AI28" s="23" t="n">
        <f aca="false">ModelBull!$F$34*Retentie!$D$9</f>
        <v>432.489720371163</v>
      </c>
      <c r="AJ28" s="23" t="n">
        <f aca="false">ModelBull!$F$34*Retentie!$D$10</f>
        <v>414.83707872336</v>
      </c>
      <c r="AK28" s="23" t="n">
        <f aca="false">ModelBull!$F$34*Retentie!$D$11</f>
        <v>397.184437075558</v>
      </c>
    </row>
    <row r="29" customFormat="false" ht="15" hidden="false" customHeight="false" outlineLevel="0" collapsed="false">
      <c r="A29" s="5" t="n">
        <v>28</v>
      </c>
      <c r="AC29" s="23" t="n">
        <f aca="false">ModelBull!$F$35*Retentie!$D$2</f>
        <v>1871.18001466707</v>
      </c>
      <c r="AD29" s="23" t="n">
        <f aca="false">ModelBull!$F$35*Retentie!$D$3</f>
        <v>973.013607626878</v>
      </c>
      <c r="AE29" s="23" t="n">
        <f aca="false">ModelBull!$F$35*Retentie!$D$4</f>
        <v>785.89560616017</v>
      </c>
      <c r="AF29" s="23" t="n">
        <f aca="false">ModelBull!$F$35*Retentie!$D$5</f>
        <v>654.913005133475</v>
      </c>
      <c r="AG29" s="23" t="n">
        <f aca="false">ModelBull!$F$35*Retentie!$D$6</f>
        <v>580.065804546792</v>
      </c>
      <c r="AH29" s="23" t="n">
        <f aca="false">ModelBull!$F$35*Retentie!$D$7</f>
        <v>523.93040410678</v>
      </c>
      <c r="AI29" s="23" t="n">
        <f aca="false">ModelBull!$F$35*Retentie!$D$8</f>
        <v>486.506803813439</v>
      </c>
      <c r="AJ29" s="23" t="n">
        <f aca="false">ModelBull!$F$35*Retentie!$D$9</f>
        <v>458.439103593433</v>
      </c>
      <c r="AK29" s="23" t="n">
        <f aca="false">ModelBull!$F$35*Retentie!$D$10</f>
        <v>439.727303446762</v>
      </c>
    </row>
    <row r="30" customFormat="false" ht="15" hidden="false" customHeight="false" outlineLevel="0" collapsed="false">
      <c r="A30" s="5" t="n">
        <v>29</v>
      </c>
      <c r="AD30" s="23" t="n">
        <f aca="false">ModelBull!$F$36*Retentie!$D$2</f>
        <v>1983.4508155471</v>
      </c>
      <c r="AE30" s="23" t="n">
        <f aca="false">ModelBull!$F$36*Retentie!$D$3</f>
        <v>1031.39442408449</v>
      </c>
      <c r="AF30" s="23" t="n">
        <f aca="false">ModelBull!$F$36*Retentie!$D$4</f>
        <v>833.049342529781</v>
      </c>
      <c r="AG30" s="23" t="n">
        <f aca="false">ModelBull!$F$36*Retentie!$D$5</f>
        <v>694.207785441484</v>
      </c>
      <c r="AH30" s="23" t="n">
        <f aca="false">ModelBull!$F$36*Retentie!$D$6</f>
        <v>614.8697528196</v>
      </c>
      <c r="AI30" s="23" t="n">
        <f aca="false">ModelBull!$F$36*Retentie!$D$7</f>
        <v>555.366228353187</v>
      </c>
      <c r="AJ30" s="23" t="n">
        <f aca="false">ModelBull!$F$36*Retentie!$D$8</f>
        <v>515.697212042245</v>
      </c>
      <c r="AK30" s="23" t="n">
        <f aca="false">ModelBull!$F$36*Retentie!$D$9</f>
        <v>485.945449809039</v>
      </c>
    </row>
    <row r="31" customFormat="false" ht="15" hidden="false" customHeight="false" outlineLevel="0" collapsed="false">
      <c r="A31" s="5" t="n">
        <v>30</v>
      </c>
      <c r="AE31" s="23" t="n">
        <f aca="false">ModelBull!$F$37*Retentie!$D$2</f>
        <v>2102.45786447992</v>
      </c>
      <c r="AF31" s="23" t="n">
        <f aca="false">ModelBull!$F$37*Retentie!$D$3</f>
        <v>1093.27808952956</v>
      </c>
      <c r="AG31" s="23" t="n">
        <f aca="false">ModelBull!$F$37*Retentie!$D$4</f>
        <v>883.032303081568</v>
      </c>
      <c r="AH31" s="23" t="n">
        <f aca="false">ModelBull!$F$37*Retentie!$D$5</f>
        <v>735.860252567973</v>
      </c>
      <c r="AI31" s="23" t="n">
        <f aca="false">ModelBull!$F$37*Retentie!$D$6</f>
        <v>651.761937988776</v>
      </c>
      <c r="AJ31" s="23" t="n">
        <f aca="false">ModelBull!$F$37*Retentie!$D$7</f>
        <v>588.688202054379</v>
      </c>
      <c r="AK31" s="23" t="n">
        <f aca="false">ModelBull!$F$37*Retentie!$D$8</f>
        <v>546.63904476478</v>
      </c>
    </row>
    <row r="32" customFormat="false" ht="15" hidden="false" customHeight="false" outlineLevel="0" collapsed="false">
      <c r="A32" s="5" t="n">
        <v>31</v>
      </c>
      <c r="AF32" s="23" t="n">
        <f aca="false">ModelBull!$F$38*Retentie!$D$2</f>
        <v>2228.60533634872</v>
      </c>
      <c r="AG32" s="23" t="n">
        <f aca="false">ModelBull!$F$38*Retentie!$D$3</f>
        <v>1158.87477490133</v>
      </c>
      <c r="AH32" s="23" t="n">
        <f aca="false">ModelBull!$F$38*Retentie!$D$4</f>
        <v>936.014241266462</v>
      </c>
      <c r="AI32" s="23" t="n">
        <f aca="false">ModelBull!$F$38*Retentie!$D$5</f>
        <v>780.011867722051</v>
      </c>
      <c r="AJ32" s="23" t="n">
        <f aca="false">ModelBull!$F$38*Retentie!$D$6</f>
        <v>690.867654268103</v>
      </c>
      <c r="AK32" s="23" t="n">
        <f aca="false">ModelBull!$F$38*Retentie!$D$7</f>
        <v>624.009494177641</v>
      </c>
    </row>
    <row r="33" customFormat="false" ht="15" hidden="false" customHeight="false" outlineLevel="0" collapsed="false">
      <c r="A33" s="5" t="n">
        <v>32</v>
      </c>
      <c r="AG33" s="23" t="n">
        <f aca="false">ModelBull!$F$39*Retentie!$D$2</f>
        <v>2362.32165652964</v>
      </c>
      <c r="AH33" s="23" t="n">
        <f aca="false">ModelBull!$F$39*Retentie!$D$3</f>
        <v>1228.40726139541</v>
      </c>
      <c r="AI33" s="23" t="n">
        <f aca="false">ModelBull!$F$39*Retentie!$D$4</f>
        <v>992.17509574245</v>
      </c>
      <c r="AJ33" s="23" t="n">
        <f aca="false">ModelBull!$F$39*Retentie!$D$5</f>
        <v>826.812579785375</v>
      </c>
      <c r="AK33" s="23" t="n">
        <f aca="false">ModelBull!$F$39*Retentie!$D$6</f>
        <v>732.319713524189</v>
      </c>
    </row>
    <row r="34" customFormat="false" ht="15" hidden="false" customHeight="false" outlineLevel="0" collapsed="false">
      <c r="A34" s="5" t="n">
        <v>33</v>
      </c>
      <c r="AH34" s="23" t="n">
        <f aca="false">ModelBull!$F$40*Retentie!$D$2</f>
        <v>2504.06095592142</v>
      </c>
      <c r="AI34" s="23" t="n">
        <f aca="false">ModelBull!$F$40*Retentie!$D$3</f>
        <v>1302.11169707914</v>
      </c>
      <c r="AJ34" s="23" t="n">
        <f aca="false">ModelBull!$F$40*Retentie!$D$4</f>
        <v>1051.705601487</v>
      </c>
      <c r="AK34" s="23" t="n">
        <f aca="false">ModelBull!$F$40*Retentie!$D$5</f>
        <v>876.421334572497</v>
      </c>
    </row>
    <row r="35" customFormat="false" ht="15" hidden="false" customHeight="false" outlineLevel="0" collapsed="false">
      <c r="A35" s="5" t="n">
        <v>34</v>
      </c>
      <c r="AI35" s="23" t="n">
        <f aca="false">ModelBull!$F$41*Retentie!$D$2</f>
        <v>2654.30461327671</v>
      </c>
      <c r="AJ35" s="23" t="n">
        <f aca="false">ModelBull!$F$41*Retentie!$D$3</f>
        <v>1380.23839890389</v>
      </c>
      <c r="AK35" s="23" t="n">
        <f aca="false">ModelBull!$F$41*Retentie!$D$4</f>
        <v>1114.80793757622</v>
      </c>
    </row>
    <row r="36" customFormat="false" ht="15" hidden="false" customHeight="false" outlineLevel="0" collapsed="false">
      <c r="A36" s="5" t="n">
        <v>35</v>
      </c>
      <c r="AJ36" s="23" t="n">
        <f aca="false">ModelBull!$F$42*Retentie!$D$2</f>
        <v>2813.56289007331</v>
      </c>
      <c r="AK36" s="23" t="n">
        <f aca="false">ModelBull!$F$42*Retentie!$D$3</f>
        <v>1463.05270283812</v>
      </c>
    </row>
    <row r="37" customFormat="false" ht="15" hidden="false" customHeight="false" outlineLevel="0" collapsed="false">
      <c r="A37" s="5" t="n">
        <v>36</v>
      </c>
      <c r="AK37" s="23" t="n">
        <f aca="false">ModelBull!$F$43*Retentie!$D$2</f>
        <v>2982.37666347771</v>
      </c>
    </row>
    <row r="38" customFormat="false" ht="15" hidden="false" customHeight="false" outlineLevel="0" collapsed="false">
      <c r="A38" s="5" t="s">
        <v>172</v>
      </c>
      <c r="B38" s="29" t="n">
        <f aca="false">SUM(B2:B37)</f>
        <v>930</v>
      </c>
      <c r="C38" s="29" t="n">
        <f aca="false">SUM(C2:C37)</f>
        <v>731.6</v>
      </c>
      <c r="D38" s="29" t="n">
        <f aca="false">SUM(D2:D37)</f>
        <v>782.44</v>
      </c>
      <c r="E38" s="29" t="n">
        <f aca="false">SUM(E2:E37)</f>
        <v>845.0104</v>
      </c>
      <c r="F38" s="29" t="n">
        <f aca="false">SUM(F2:F37)</f>
        <v>925.781024</v>
      </c>
      <c r="G38" s="29" t="n">
        <f aca="false">SUM(G2:G37)</f>
        <v>1013.00988544</v>
      </c>
      <c r="H38" s="29" t="n">
        <f aca="false">SUM(H2:H37)</f>
        <v>1109.0064785664</v>
      </c>
      <c r="I38" s="29" t="n">
        <f aca="false">SUM(I2:I37)</f>
        <v>1211.56886728038</v>
      </c>
      <c r="J38" s="29" t="n">
        <f aca="false">SUM(J2:J37)</f>
        <v>1322.05199931721</v>
      </c>
      <c r="K38" s="29" t="n">
        <f aca="false">SUM(K2:K37)</f>
        <v>1437.24211927624</v>
      </c>
      <c r="L38" s="29" t="n">
        <f aca="false">SUM(L2:L37)</f>
        <v>1557.42164643281</v>
      </c>
      <c r="M38" s="29" t="n">
        <f aca="false">SUM(M2:M37)</f>
        <v>1687.53994521878</v>
      </c>
      <c r="N38" s="29" t="n">
        <f aca="false">SUM(N2:N37)</f>
        <v>3311.44944809987</v>
      </c>
      <c r="O38" s="29" t="n">
        <f aca="false">SUM(O2:O37)</f>
        <v>3070.53705765517</v>
      </c>
      <c r="P38" s="29" t="n">
        <f aca="false">SUM(P2:P37)</f>
        <v>3267.13408318524</v>
      </c>
      <c r="Q38" s="29" t="n">
        <f aca="false">SUM(Q2:Q37)</f>
        <v>3495.81255406916</v>
      </c>
      <c r="R38" s="29" t="n">
        <f aca="false">SUM(R2:R37)</f>
        <v>3765.67885583707</v>
      </c>
      <c r="S38" s="29" t="n">
        <f aca="false">SUM(S2:S37)</f>
        <v>4056.64685502753</v>
      </c>
      <c r="T38" s="29" t="n">
        <f aca="false">SUM(T2:T37)</f>
        <v>4372.3764864222</v>
      </c>
      <c r="U38" s="29" t="n">
        <f aca="false">SUM(U2:U37)</f>
        <v>4709.31255535879</v>
      </c>
      <c r="V38" s="29" t="n">
        <f aca="false">SUM(V2:V37)</f>
        <v>5069.92436455797</v>
      </c>
      <c r="W38" s="29" t="n">
        <f aca="false">SUM(W2:W37)</f>
        <v>5449.3946493728</v>
      </c>
      <c r="X38" s="29" t="n">
        <f aca="false">SUM(X2:X37)</f>
        <v>5849.78491834022</v>
      </c>
      <c r="Y38" s="29" t="n">
        <f aca="false">SUM(Y2:Y37)</f>
        <v>6279.04729604023</v>
      </c>
      <c r="Z38" s="29" t="n">
        <f aca="false">SUM(Z2:Z37)</f>
        <v>9100.92109010939</v>
      </c>
      <c r="AA38" s="29" t="n">
        <f aca="false">SUM(AA2:AA37)</f>
        <v>8443.62121848458</v>
      </c>
      <c r="AB38" s="29" t="n">
        <f aca="false">SUM(AB2:AB37)</f>
        <v>8718.09354363631</v>
      </c>
      <c r="AC38" s="29" t="n">
        <f aca="false">SUM(AC2:AC37)</f>
        <v>9093.62005415619</v>
      </c>
      <c r="AD38" s="29" t="n">
        <f aca="false">SUM(AD2:AD37)</f>
        <v>9572.00116054399</v>
      </c>
      <c r="AE38" s="29" t="n">
        <f aca="false">SUM(AE2:AE37)</f>
        <v>10107.780402126</v>
      </c>
      <c r="AF38" s="29" t="n">
        <f aca="false">SUM(AF2:AF37)</f>
        <v>10702.9807201397</v>
      </c>
      <c r="AG38" s="29" t="n">
        <f aca="false">SUM(AG2:AG37)</f>
        <v>11347.9052083461</v>
      </c>
      <c r="AH38" s="29" t="n">
        <f aca="false">SUM(AH2:AH37)</f>
        <v>12044.8268435196</v>
      </c>
      <c r="AI38" s="29" t="n">
        <f aca="false">SUM(AI2:AI37)</f>
        <v>12784.3137570904</v>
      </c>
      <c r="AJ38" s="29" t="n">
        <f aca="false">SUM(AJ2:AJ37)</f>
        <v>13570.4068108684</v>
      </c>
      <c r="AK38" s="29" t="n">
        <f aca="false">SUM(AK2:AK37)</f>
        <v>14416.4960354045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0" t="s">
        <v>175</v>
      </c>
    </row>
    <row r="3" customFormat="false" ht="15" hidden="false" customHeight="false" outlineLevel="0" collapsed="false">
      <c r="A3" s="26" t="s">
        <v>176</v>
      </c>
    </row>
    <row r="4" customFormat="false" ht="15" hidden="false" customHeight="false" outlineLevel="0" collapsed="false">
      <c r="B4" s="19" t="n">
        <v>25</v>
      </c>
      <c r="C4" s="19" t="n">
        <v>35</v>
      </c>
      <c r="D4" s="19" t="n">
        <v>45</v>
      </c>
      <c r="E4" s="19" t="n">
        <v>55</v>
      </c>
      <c r="F4" s="19" t="n">
        <v>65</v>
      </c>
    </row>
    <row r="5" customFormat="false" ht="15" hidden="false" customHeight="false" outlineLevel="0" collapsed="false">
      <c r="A5" s="30" t="n">
        <v>10</v>
      </c>
      <c r="B5" s="24" t="n">
        <f aca="false">$A5*B$4</f>
        <v>250</v>
      </c>
      <c r="C5" s="24" t="n">
        <f aca="false">$A5*C$4</f>
        <v>350</v>
      </c>
      <c r="D5" s="24" t="n">
        <f aca="false">$A5*D$4</f>
        <v>450</v>
      </c>
      <c r="E5" s="24" t="n">
        <f aca="false">$A5*E$4</f>
        <v>550</v>
      </c>
      <c r="F5" s="24" t="n">
        <f aca="false">$A5*F$4</f>
        <v>650</v>
      </c>
    </row>
    <row r="6" customFormat="false" ht="15" hidden="false" customHeight="false" outlineLevel="0" collapsed="false">
      <c r="A6" s="30" t="n">
        <v>15</v>
      </c>
      <c r="B6" s="24" t="n">
        <f aca="false">$A6*B$4</f>
        <v>375</v>
      </c>
      <c r="C6" s="24" t="n">
        <f aca="false">$A6*C$4</f>
        <v>525</v>
      </c>
      <c r="D6" s="24" t="n">
        <f aca="false">$A6*D$4</f>
        <v>675</v>
      </c>
      <c r="E6" s="24" t="n">
        <f aca="false">$A6*E$4</f>
        <v>825</v>
      </c>
      <c r="F6" s="24" t="n">
        <f aca="false">$A6*F$4</f>
        <v>975</v>
      </c>
    </row>
    <row r="7" customFormat="false" ht="15" hidden="false" customHeight="false" outlineLevel="0" collapsed="false">
      <c r="A7" s="30" t="n">
        <v>20</v>
      </c>
      <c r="B7" s="24" t="n">
        <f aca="false">$A7*B$4</f>
        <v>500</v>
      </c>
      <c r="C7" s="24" t="n">
        <f aca="false">$A7*C$4</f>
        <v>700</v>
      </c>
      <c r="D7" s="24" t="n">
        <f aca="false">$A7*D$4</f>
        <v>900</v>
      </c>
      <c r="E7" s="24" t="n">
        <f aca="false">$A7*E$4</f>
        <v>1100</v>
      </c>
      <c r="F7" s="24" t="n">
        <f aca="false">$A7*F$4</f>
        <v>1300</v>
      </c>
    </row>
    <row r="8" customFormat="false" ht="15" hidden="false" customHeight="false" outlineLevel="0" collapsed="false">
      <c r="A8" s="30" t="n">
        <v>25</v>
      </c>
      <c r="B8" s="24" t="n">
        <f aca="false">$A8*B$4</f>
        <v>625</v>
      </c>
      <c r="C8" s="24" t="n">
        <f aca="false">$A8*C$4</f>
        <v>875</v>
      </c>
      <c r="D8" s="24" t="n">
        <f aca="false">$A8*D$4</f>
        <v>1125</v>
      </c>
      <c r="E8" s="24" t="n">
        <f aca="false">$A8*E$4</f>
        <v>1375</v>
      </c>
      <c r="F8" s="24" t="n">
        <f aca="false">$A8*F$4</f>
        <v>1625</v>
      </c>
    </row>
    <row r="9" customFormat="false" ht="15" hidden="false" customHeight="false" outlineLevel="0" collapsed="false">
      <c r="A9" s="30" t="n">
        <v>30</v>
      </c>
      <c r="B9" s="24" t="n">
        <f aca="false">$A9*B$4</f>
        <v>750</v>
      </c>
      <c r="C9" s="24" t="n">
        <f aca="false">$A9*C$4</f>
        <v>1050</v>
      </c>
      <c r="D9" s="24" t="n">
        <f aca="false">$A9*D$4</f>
        <v>1350</v>
      </c>
      <c r="E9" s="24" t="n">
        <f aca="false">$A9*E$4</f>
        <v>1650</v>
      </c>
      <c r="F9" s="24" t="n">
        <f aca="false">$A9*F$4</f>
        <v>1950</v>
      </c>
    </row>
    <row r="10" customFormat="false" ht="15" hidden="false" customHeight="false" outlineLevel="0" collapsed="false">
      <c r="A10" s="30" t="n">
        <v>40</v>
      </c>
      <c r="B10" s="24" t="n">
        <f aca="false">$A10*B$4</f>
        <v>1000</v>
      </c>
      <c r="C10" s="24" t="n">
        <f aca="false">$A10*C$4</f>
        <v>1400</v>
      </c>
      <c r="D10" s="24" t="n">
        <f aca="false">$A10*D$4</f>
        <v>1800</v>
      </c>
      <c r="E10" s="24" t="n">
        <f aca="false">$A10*E$4</f>
        <v>2200</v>
      </c>
      <c r="F10" s="24" t="n">
        <f aca="false">$A10*F$4</f>
        <v>2600</v>
      </c>
    </row>
    <row r="11" customFormat="false" ht="15" hidden="false" customHeight="false" outlineLevel="0" collapsed="false">
      <c r="A11" s="30" t="n">
        <v>50</v>
      </c>
      <c r="B11" s="24" t="n">
        <f aca="false">$A11*B$4</f>
        <v>1250</v>
      </c>
      <c r="C11" s="24" t="n">
        <f aca="false">$A11*C$4</f>
        <v>1750</v>
      </c>
      <c r="D11" s="24" t="n">
        <f aca="false">$A11*D$4</f>
        <v>2250</v>
      </c>
      <c r="E11" s="24" t="n">
        <f aca="false">$A11*E$4</f>
        <v>2750</v>
      </c>
      <c r="F11" s="24" t="n">
        <f aca="false">$A11*F$4</f>
        <v>3250</v>
      </c>
    </row>
    <row r="12" customFormat="false" ht="15" hidden="false" customHeight="false" outlineLevel="0" collapsed="false">
      <c r="A12" s="30" t="n">
        <v>60</v>
      </c>
      <c r="B12" s="24" t="n">
        <f aca="false">$A12*B$4</f>
        <v>1500</v>
      </c>
      <c r="C12" s="24" t="n">
        <f aca="false">$A12*C$4</f>
        <v>2100</v>
      </c>
      <c r="D12" s="24" t="n">
        <f aca="false">$A12*D$4</f>
        <v>2700</v>
      </c>
      <c r="E12" s="24" t="n">
        <f aca="false">$A12*E$4</f>
        <v>3300</v>
      </c>
      <c r="F12" s="24" t="n">
        <f aca="false">$A12*F$4</f>
        <v>3900</v>
      </c>
    </row>
    <row r="13" customFormat="false" ht="15" hidden="false" customHeight="false" outlineLevel="0" collapsed="false">
      <c r="A13" s="20" t="s">
        <v>177</v>
      </c>
    </row>
    <row r="16" customFormat="false" ht="15" hidden="false" customHeight="false" outlineLevel="0" collapsed="false">
      <c r="A16" s="26" t="s">
        <v>178</v>
      </c>
    </row>
    <row r="17" customFormat="false" ht="15" hidden="false" customHeight="false" outlineLevel="0" collapsed="false">
      <c r="B17" s="8" t="n">
        <v>0.01</v>
      </c>
      <c r="C17" s="8" t="n">
        <v>0.02</v>
      </c>
      <c r="D17" s="8" t="n">
        <v>0.03</v>
      </c>
      <c r="E17" s="8" t="n">
        <v>0.04</v>
      </c>
      <c r="F17" s="8" t="n">
        <v>0.05</v>
      </c>
    </row>
    <row r="18" customFormat="false" ht="15" hidden="false" customHeight="false" outlineLevel="0" collapsed="false">
      <c r="A18" s="17" t="n">
        <v>500</v>
      </c>
      <c r="B18" s="24" t="n">
        <f aca="false">$A18*B$17*Aannames!$C$10*(1-Aannames!$C$11)</f>
        <v>19.0825</v>
      </c>
      <c r="C18" s="24" t="n">
        <f aca="false">$A18*C$17*Aannames!$C$10*(1-Aannames!$C$11)</f>
        <v>38.165</v>
      </c>
      <c r="D18" s="24" t="n">
        <f aca="false">$A18*D$17*Aannames!$C$10*(1-Aannames!$C$11)</f>
        <v>57.2475</v>
      </c>
      <c r="E18" s="24" t="n">
        <f aca="false">$A18*E$17*Aannames!$C$10*(1-Aannames!$C$11)</f>
        <v>76.33</v>
      </c>
      <c r="F18" s="24" t="n">
        <f aca="false">$A18*F$17*Aannames!$C$10*(1-Aannames!$C$11)</f>
        <v>95.4125</v>
      </c>
    </row>
    <row r="19" customFormat="false" ht="15" hidden="false" customHeight="false" outlineLevel="0" collapsed="false">
      <c r="A19" s="17" t="n">
        <v>1000</v>
      </c>
      <c r="B19" s="24" t="n">
        <f aca="false">$A19*B$17*Aannames!$C$10*(1-Aannames!$C$11)</f>
        <v>38.165</v>
      </c>
      <c r="C19" s="24" t="n">
        <f aca="false">$A19*C$17*Aannames!$C$10*(1-Aannames!$C$11)</f>
        <v>76.33</v>
      </c>
      <c r="D19" s="24" t="n">
        <f aca="false">$A19*D$17*Aannames!$C$10*(1-Aannames!$C$11)</f>
        <v>114.495</v>
      </c>
      <c r="E19" s="24" t="n">
        <f aca="false">$A19*E$17*Aannames!$C$10*(1-Aannames!$C$11)</f>
        <v>152.66</v>
      </c>
      <c r="F19" s="24" t="n">
        <f aca="false">$A19*F$17*Aannames!$C$10*(1-Aannames!$C$11)</f>
        <v>190.825</v>
      </c>
    </row>
    <row r="20" customFormat="false" ht="15" hidden="false" customHeight="false" outlineLevel="0" collapsed="false">
      <c r="A20" s="17" t="n">
        <v>2000</v>
      </c>
      <c r="B20" s="24" t="n">
        <f aca="false">$A20*B$17*Aannames!$C$10*(1-Aannames!$C$11)</f>
        <v>76.33</v>
      </c>
      <c r="C20" s="24" t="n">
        <f aca="false">$A20*C$17*Aannames!$C$10*(1-Aannames!$C$11)</f>
        <v>152.66</v>
      </c>
      <c r="D20" s="24" t="n">
        <f aca="false">$A20*D$17*Aannames!$C$10*(1-Aannames!$C$11)</f>
        <v>228.99</v>
      </c>
      <c r="E20" s="24" t="n">
        <f aca="false">$A20*E$17*Aannames!$C$10*(1-Aannames!$C$11)</f>
        <v>305.32</v>
      </c>
      <c r="F20" s="24" t="n">
        <f aca="false">$A20*F$17*Aannames!$C$10*(1-Aannames!$C$11)</f>
        <v>381.65</v>
      </c>
    </row>
    <row r="21" customFormat="false" ht="15" hidden="false" customHeight="false" outlineLevel="0" collapsed="false">
      <c r="A21" s="17" t="n">
        <v>3000</v>
      </c>
      <c r="B21" s="24" t="n">
        <f aca="false">$A21*B$17*Aannames!$C$10*(1-Aannames!$C$11)</f>
        <v>114.495</v>
      </c>
      <c r="C21" s="24" t="n">
        <f aca="false">$A21*C$17*Aannames!$C$10*(1-Aannames!$C$11)</f>
        <v>228.99</v>
      </c>
      <c r="D21" s="24" t="n">
        <f aca="false">$A21*D$17*Aannames!$C$10*(1-Aannames!$C$11)</f>
        <v>343.485</v>
      </c>
      <c r="E21" s="24" t="n">
        <f aca="false">$A21*E$17*Aannames!$C$10*(1-Aannames!$C$11)</f>
        <v>457.98</v>
      </c>
      <c r="F21" s="24" t="n">
        <f aca="false">$A21*F$17*Aannames!$C$10*(1-Aannames!$C$11)</f>
        <v>572.475</v>
      </c>
    </row>
    <row r="22" customFormat="false" ht="15" hidden="false" customHeight="false" outlineLevel="0" collapsed="false">
      <c r="A22" s="17" t="n">
        <v>5000</v>
      </c>
      <c r="B22" s="24" t="n">
        <f aca="false">$A22*B$17*Aannames!$C$10*(1-Aannames!$C$11)</f>
        <v>190.825</v>
      </c>
      <c r="C22" s="24" t="n">
        <f aca="false">$A22*C$17*Aannames!$C$10*(1-Aannames!$C$11)</f>
        <v>381.65</v>
      </c>
      <c r="D22" s="24" t="n">
        <f aca="false">$A22*D$17*Aannames!$C$10*(1-Aannames!$C$11)</f>
        <v>572.475</v>
      </c>
      <c r="E22" s="24" t="n">
        <f aca="false">$A22*E$17*Aannames!$C$10*(1-Aannames!$C$11)</f>
        <v>763.3</v>
      </c>
      <c r="F22" s="24" t="n">
        <f aca="false">$A22*F$17*Aannames!$C$10*(1-Aannames!$C$11)</f>
        <v>954.125</v>
      </c>
    </row>
    <row r="23" customFormat="false" ht="15" hidden="false" customHeight="false" outlineLevel="0" collapsed="false">
      <c r="A23" s="17" t="n">
        <v>8000</v>
      </c>
      <c r="B23" s="24" t="n">
        <f aca="false">$A23*B$17*Aannames!$C$10*(1-Aannames!$C$11)</f>
        <v>305.32</v>
      </c>
      <c r="C23" s="24" t="n">
        <f aca="false">$A23*C$17*Aannames!$C$10*(1-Aannames!$C$11)</f>
        <v>610.64</v>
      </c>
      <c r="D23" s="24" t="n">
        <f aca="false">$A23*D$17*Aannames!$C$10*(1-Aannames!$C$11)</f>
        <v>915.96</v>
      </c>
      <c r="E23" s="24" t="n">
        <f aca="false">$A23*E$17*Aannames!$C$10*(1-Aannames!$C$11)</f>
        <v>1221.28</v>
      </c>
      <c r="F23" s="24" t="n">
        <f aca="false">$A23*F$17*Aannames!$C$10*(1-Aannames!$C$11)</f>
        <v>1526.6</v>
      </c>
    </row>
    <row r="24" customFormat="false" ht="15" hidden="false" customHeight="false" outlineLevel="0" collapsed="false">
      <c r="A24" s="20" t="s">
        <v>179</v>
      </c>
    </row>
    <row r="28" customFormat="false" ht="15" hidden="false" customHeight="false" outlineLevel="0" collapsed="false">
      <c r="A28" s="26" t="s">
        <v>180</v>
      </c>
    </row>
    <row r="29" customFormat="false" ht="15" hidden="false" customHeight="false" outlineLevel="0" collapsed="false">
      <c r="B29" s="8" t="n">
        <v>0.01</v>
      </c>
      <c r="C29" s="8" t="n">
        <v>0.02</v>
      </c>
      <c r="D29" s="8" t="n">
        <v>0.025</v>
      </c>
      <c r="E29" s="8" t="n">
        <v>0.04</v>
      </c>
      <c r="F29" s="8" t="n">
        <v>0.06</v>
      </c>
    </row>
    <row r="30" customFormat="false" ht="15" hidden="false" customHeight="false" outlineLevel="0" collapsed="false">
      <c r="A30" s="19" t="n">
        <v>25</v>
      </c>
      <c r="B30" s="24" t="n">
        <f aca="false">$A30*Aannames!$C$22/B$29</f>
        <v>2350</v>
      </c>
      <c r="C30" s="24" t="n">
        <f aca="false">$A30*Aannames!$C$22/C$29</f>
        <v>1175</v>
      </c>
      <c r="D30" s="24" t="n">
        <f aca="false">$A30*Aannames!$C$22/D$29</f>
        <v>940</v>
      </c>
      <c r="E30" s="24" t="n">
        <f aca="false">$A30*Aannames!$C$22/E$29</f>
        <v>587.5</v>
      </c>
      <c r="F30" s="24" t="n">
        <f aca="false">$A30*Aannames!$C$22/F$29</f>
        <v>391.666666666667</v>
      </c>
    </row>
    <row r="31" customFormat="false" ht="15" hidden="false" customHeight="false" outlineLevel="0" collapsed="false">
      <c r="A31" s="19" t="n">
        <v>35</v>
      </c>
      <c r="B31" s="24" t="n">
        <f aca="false">$A31*Aannames!$C$22/B$29</f>
        <v>3290</v>
      </c>
      <c r="C31" s="24" t="n">
        <f aca="false">$A31*Aannames!$C$22/C$29</f>
        <v>1645</v>
      </c>
      <c r="D31" s="24" t="n">
        <f aca="false">$A31*Aannames!$C$22/D$29</f>
        <v>1316</v>
      </c>
      <c r="E31" s="24" t="n">
        <f aca="false">$A31*Aannames!$C$22/E$29</f>
        <v>822.5</v>
      </c>
      <c r="F31" s="24" t="n">
        <f aca="false">$A31*Aannames!$C$22/F$29</f>
        <v>548.333333333333</v>
      </c>
    </row>
    <row r="32" customFormat="false" ht="15" hidden="false" customHeight="false" outlineLevel="0" collapsed="false">
      <c r="A32" s="19" t="n">
        <v>45</v>
      </c>
      <c r="B32" s="24" t="n">
        <f aca="false">$A32*Aannames!$C$22/B$29</f>
        <v>4230</v>
      </c>
      <c r="C32" s="24" t="n">
        <f aca="false">$A32*Aannames!$C$22/C$29</f>
        <v>2115</v>
      </c>
      <c r="D32" s="24" t="n">
        <f aca="false">$A32*Aannames!$C$22/D$29</f>
        <v>1692</v>
      </c>
      <c r="E32" s="24" t="n">
        <f aca="false">$A32*Aannames!$C$22/E$29</f>
        <v>1057.5</v>
      </c>
      <c r="F32" s="24" t="n">
        <f aca="false">$A32*Aannames!$C$22/F$29</f>
        <v>705</v>
      </c>
    </row>
    <row r="33" customFormat="false" ht="15" hidden="false" customHeight="false" outlineLevel="0" collapsed="false">
      <c r="A33" s="19" t="n">
        <v>55</v>
      </c>
      <c r="B33" s="24" t="n">
        <f aca="false">$A33*Aannames!$C$22/B$29</f>
        <v>5170</v>
      </c>
      <c r="C33" s="24" t="n">
        <f aca="false">$A33*Aannames!$C$22/C$29</f>
        <v>2585</v>
      </c>
      <c r="D33" s="24" t="n">
        <f aca="false">$A33*Aannames!$C$22/D$29</f>
        <v>2068</v>
      </c>
      <c r="E33" s="24" t="n">
        <f aca="false">$A33*Aannames!$C$22/E$29</f>
        <v>1292.5</v>
      </c>
      <c r="F33" s="24" t="n">
        <f aca="false">$A33*Aannames!$C$22/F$29</f>
        <v>861.666666666667</v>
      </c>
    </row>
    <row r="34" customFormat="false" ht="15" hidden="false" customHeight="false" outlineLevel="0" collapsed="false">
      <c r="A34" s="19" t="n">
        <v>65</v>
      </c>
      <c r="B34" s="24" t="n">
        <f aca="false">$A34*Aannames!$C$22/B$29</f>
        <v>6110</v>
      </c>
      <c r="C34" s="24" t="n">
        <f aca="false">$A34*Aannames!$C$22/C$29</f>
        <v>3055</v>
      </c>
      <c r="D34" s="24" t="n">
        <f aca="false">$A34*Aannames!$C$22/D$29</f>
        <v>2444</v>
      </c>
      <c r="E34" s="24" t="n">
        <f aca="false">$A34*Aannames!$C$22/E$29</f>
        <v>1527.5</v>
      </c>
      <c r="F34" s="24" t="n">
        <f aca="false">$A34*Aannames!$C$22/F$29</f>
        <v>1018.33333333333</v>
      </c>
    </row>
    <row r="35" customFormat="false" ht="15" hidden="false" customHeight="false" outlineLevel="0" collapsed="false">
      <c r="A35" s="2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2026-08-09T14:55:21Z</dcterms:created>
  <dc:creator>openpyxl</dc:creator>
  <dc:description/>
  <dc:language>en-US</dc:language>
  <cp:lastModifiedBy/>
  <dcterms:modified xsi:type="dcterms:W3CDTF">2026-08-09T14:55:21Z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